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OP Mode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cenario Summary" sheetId="5" state="visible" r:id="rId5"/>
    <sheet xmlns:r="http://schemas.openxmlformats.org/officeDocument/2006/relationships" name="Loss Decomposition" sheetId="6" state="visible" r:id="rId6"/>
    <sheet xmlns:r="http://schemas.openxmlformats.org/officeDocument/2006/relationships" name="Data - Lost Revenue" sheetId="7" state="visible" r:id="rId7"/>
    <sheet xmlns:r="http://schemas.openxmlformats.org/officeDocument/2006/relationships" name="Data - Stockout Rates" sheetId="8" state="visible" r:id="rId8"/>
    <sheet xmlns:r="http://schemas.openxmlformats.org/officeDocument/2006/relationships" name="Data - Lead Time" sheetId="9" state="visible" r:id="rId9"/>
    <sheet xmlns:r="http://schemas.openxmlformats.org/officeDocument/2006/relationships" name="Data - Root Cause" sheetId="10" state="visible" r:id="rId10"/>
    <sheet xmlns:r="http://schemas.openxmlformats.org/officeDocument/2006/relationships" name="Data - Weekend" sheetId="11" state="visible" r:id="rId11"/>
  </sheets>
  <definedNames>
    <definedName name="mu_d">Inputs!$C$4</definedName>
    <definedName name="sigma_d">Inputs!$C$5</definedName>
    <definedName name="L_nom">Inputs!$C$6</definedName>
    <definedName name="L_excess">Inputs!$C$7</definedName>
    <definedName name="sigma_LT">Inputs!$C$8</definedName>
    <definedName name="unit_cost">Inputs!$C$9</definedName>
    <definedName name="unit_price">Inputs!$C$10</definedName>
    <definedName name="unit_margin">Inputs!$C$11</definedName>
    <definedName name="shelf_life">Inputs!$C$12</definedName>
    <definedName name="n_stores">Inputs!$C$13</definedName>
    <definedName name="n_skus">Inputs!$C$14</definedName>
    <definedName name="holding_rate">Inputs!$C$17</definedName>
    <definedName name="cycle_days">Inputs!$C$18</definedName>
    <definedName name="days_month">Inputs!$C$19</definedName>
    <definedName name="obs_units">Inputs!$C$22</definedName>
    <definedName name="seg_rev_loss">Inputs!$C$23</definedName>
    <definedName name="seg_mgn_loss">Inputs!$C$24</definedName>
    <definedName name="L_act">Inputs!$C$27</definedName>
    <definedName name="sigma_DL">Inputs!$C$28</definedName>
    <definedName name="order_qty">Inputs!$C$29</definedName>
    <definedName name="cycles_pm">Inputs!$C$30</definedName>
    <definedName name="rop_current">Inputs!$C$31</definedName>
    <definedName name="z_current">Inputs!$C$32</definedName>
    <definedName name="calib">Inputs!$C$33</definedName>
    <definedName name="hold_unit_cycle">Inputs!$C$34</definedName>
    <definedName name="crit_ratio">Inputs!$C$35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.00"/>
    <numFmt numFmtId="165" formatCode="0.0%"/>
    <numFmt numFmtId="166" formatCode="&quot;₹&quot;#,##0"/>
    <numFmt numFmtId="167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1"/>
    </font>
    <font>
      <name val="Calibri"/>
      <sz val="10"/>
    </font>
    <font>
      <name val="Calibri"/>
      <b val="1"/>
      <sz val="10"/>
    </font>
    <font>
      <name val="Calibri"/>
      <i val="1"/>
      <color rgb="00606060"/>
      <sz val="9"/>
    </font>
    <font>
      <name val="Calibri"/>
      <b val="1"/>
      <color rgb="00FFFFFF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5E8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1" pivotButton="0" quotePrefix="0" xfId="0"/>
    <xf numFmtId="4" fontId="4" fillId="4" borderId="1" pivotButton="0" quotePrefix="0" xfId="0"/>
    <xf numFmtId="0" fontId="5" fillId="0" borderId="0" pivotButton="0" quotePrefix="0" xfId="0"/>
    <xf numFmtId="164" fontId="4" fillId="4" borderId="1" pivotButton="0" quotePrefix="0" xfId="0"/>
    <xf numFmtId="1" fontId="4" fillId="4" borderId="1" pivotButton="0" quotePrefix="0" xfId="0"/>
    <xf numFmtId="165" fontId="4" fillId="4" borderId="1" pivotButton="0" quotePrefix="0" xfId="0"/>
    <xf numFmtId="4" fontId="4" fillId="5" borderId="1" pivotButton="0" quotePrefix="0" xfId="0"/>
    <xf numFmtId="166" fontId="4" fillId="5" borderId="1" pivotButton="0" quotePrefix="0" xfId="0"/>
    <xf numFmtId="4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2" fillId="0" borderId="0" pivotButton="0" quotePrefix="0" xfId="0"/>
    <xf numFmtId="165" fontId="4" fillId="0" borderId="1" pivotButton="0" quotePrefix="0" xfId="0"/>
    <xf numFmtId="4" fontId="4" fillId="0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3" fillId="0" borderId="1" pivotButton="0" quotePrefix="0" xfId="0"/>
    <xf numFmtId="4" fontId="3" fillId="0" borderId="1" pivotButton="0" quotePrefix="0" xfId="0"/>
    <xf numFmtId="166" fontId="3" fillId="0" borderId="1" pivotButton="0" quotePrefix="0" xfId="0"/>
    <xf numFmtId="166" fontId="4" fillId="0" borderId="1" pivotButton="0" quotePrefix="0" xfId="0"/>
    <xf numFmtId="165" fontId="3" fillId="4" borderId="1" pivotButton="0" quotePrefix="0" xfId="0"/>
    <xf numFmtId="0" fontId="7" fillId="7" borderId="1" pivotButton="0" quotePrefix="0" xfId="0"/>
    <xf numFmtId="165" fontId="7" fillId="7" borderId="1" applyAlignment="1" pivotButton="0" quotePrefix="0" xfId="0">
      <alignment horizontal="center"/>
    </xf>
    <xf numFmtId="0" fontId="4" fillId="5" borderId="1" pivotButton="0" quotePrefix="0" xfId="0"/>
    <xf numFmtId="4" fontId="4" fillId="4" borderId="1" applyAlignment="1" pivotButton="0" quotePrefix="0" xfId="0">
      <alignment horizontal="center"/>
    </xf>
    <xf numFmtId="4" fontId="3" fillId="5" borderId="1" pivotButton="0" quotePrefix="0" xfId="0"/>
    <xf numFmtId="0" fontId="5" fillId="0" borderId="0" applyAlignment="1" pivotButton="0" quotePrefix="0" xfId="0">
      <alignment vertical="top" wrapText="1"/>
    </xf>
    <xf numFmtId="0" fontId="5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2" fontId="3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recovery vs holding cost by service level</a:t>
            </a:r>
          </a:p>
        </rich>
      </tx>
    </title>
    <plotArea>
      <lineChart>
        <grouping val="standard"/>
        <ser>
          <idx val="0"/>
          <order val="0"/>
          <tx>
            <strRef>
              <f>'ROP Model'!J5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'ROP Model'!$A$6:$A$9</f>
            </numRef>
          </cat>
          <val>
            <numRef>
              <f>'ROP Model'!$J$6:$J$9</f>
            </numRef>
          </val>
        </ser>
        <ser>
          <idx val="1"/>
          <order val="1"/>
          <tx>
            <strRef>
              <f>'ROP Model'!K5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'ROP Model'!$A$6:$A$9</f>
            </numRef>
          </cat>
          <val>
            <numRef>
              <f>'ROP Model'!$K$6:$K$9</f>
            </numRef>
          </val>
        </ser>
        <ser>
          <idx val="2"/>
          <order val="2"/>
          <tx>
            <strRef>
              <f>'ROP Model'!L5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'ROP Model'!$A$6:$A$9</f>
            </numRef>
          </cat>
          <val>
            <numRef>
              <f>'ROP Model'!$L$6:$L$9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Policy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per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lost by root cause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'Loss Decomposition'!B5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'Loss Decomposition'!$A$6:$A$8</f>
            </numRef>
          </cat>
          <val>
            <numRef>
              <f>'Loss Decomposition'!$B$6:$B$8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per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lost revenue by store (90 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- Lost Revenue'!D6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- Lost Revenue'!$A$7:$A$24</f>
            </numRef>
          </cat>
          <val>
            <numRef>
              <f>'Data - Lost Revenue'!$D$7:$D$24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Stockout rate vs lead time</a:t>
            </a:r>
          </a:p>
        </rich>
      </tx>
    </title>
    <plotArea>
      <scatterChart>
        <ser>
          <idx val="0"/>
          <order val="0"/>
          <tx>
            <strRef>
              <f>'Data - Lead Time'!B5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 - Lead Time'!$A$6:$A$9</f>
            </numRef>
          </xVal>
          <yVal>
            <numRef>
              <f>'Data - Lead Time'!$B$6:$B$9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Lead time (days)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Stockout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6" customHeight="1">
      <c r="A1" s="1" t="inlineStr">
        <is>
          <t>DARK STORE REORDER OPTIMISATION MODEL</t>
        </is>
      </c>
    </row>
    <row r="3" ht="30" customHeight="1">
      <c r="A3" s="2" t="inlineStr">
        <is>
          <t>Question</t>
        </is>
      </c>
      <c r="B3" s="3" t="inlineStr">
        <is>
          <t>Where is revenue leaking to stockouts, what actually causes it, and what reorder policy recovers the most net margin?</t>
        </is>
      </c>
    </row>
    <row r="4" ht="15" customHeight="1">
      <c r="A4" s="2" t="inlineStr">
        <is>
          <t>Headline</t>
        </is>
      </c>
      <c r="B4" s="3" t="inlineStr">
        <is>
          <t>₹1,640,840 per month of revenue is lost to stockouts across 18 dark stores.</t>
        </is>
      </c>
    </row>
    <row r="5" ht="30" customHeight="1">
      <c r="A5" s="2" t="inlineStr">
        <is>
          <t>Finding</t>
        </is>
      </c>
      <c r="B5" s="3" t="inlineStr">
        <is>
          <t>The driver is lead-time mismatch, not demand volatility. Reorder points are sized on a nominal lead time roughly a day shorter than the goods actually take, so each cycle starts short by whole units of cover.</t>
        </is>
      </c>
    </row>
    <row r="6" ht="15" customHeight="1">
      <c r="B6" s="3" t="inlineStr"/>
    </row>
    <row r="7" ht="15" customHeight="1">
      <c r="A7" s="2" t="inlineStr">
        <is>
          <t>Inputs</t>
        </is>
      </c>
      <c r="B7" s="3" t="inlineStr">
        <is>
          <t>Every assumption, in yellow. Change one and the whole model moves.</t>
        </is>
      </c>
    </row>
    <row r="8" ht="15" customHeight="1">
      <c r="A8" s="2" t="inlineStr">
        <is>
          <t>ROP Model</t>
        </is>
      </c>
      <c r="B8" s="3" t="inlineStr">
        <is>
          <t>The four policies, priced. Live formulas end to end.</t>
        </is>
      </c>
    </row>
    <row r="9" ht="15" customHeight="1">
      <c r="A9" s="2" t="inlineStr">
        <is>
          <t>Sensitivity</t>
        </is>
      </c>
      <c r="B9" s="3" t="inlineStr">
        <is>
          <t>Two-way grid: service level x lead-time gap.</t>
        </is>
      </c>
    </row>
    <row r="10" ht="15" customHeight="1">
      <c r="A10" s="2" t="inlineStr">
        <is>
          <t>Scenario Summary</t>
        </is>
      </c>
      <c r="B10" s="3" t="inlineStr">
        <is>
          <t>Scenario Manager layout; also carries the Phase 2 rollout.</t>
        </is>
      </c>
    </row>
    <row r="11" ht="15" customHeight="1">
      <c r="A11" s="2" t="inlineStr">
        <is>
          <t>Loss Decomposition</t>
        </is>
      </c>
      <c r="B11" s="3" t="inlineStr">
        <is>
          <t>The three buckets and who owns each.</t>
        </is>
      </c>
    </row>
    <row r="12" ht="15" customHeight="1">
      <c r="A12" s="2" t="inlineStr">
        <is>
          <t>Data - *</t>
        </is>
      </c>
      <c r="B12" s="3" t="inlineStr">
        <is>
          <t>Query exports behind the analysis.</t>
        </is>
      </c>
    </row>
    <row r="13" ht="15" customHeight="1">
      <c r="B13" s="3" t="inlineStr"/>
    </row>
    <row r="14" ht="15" customHeight="1">
      <c r="A14" s="2" t="inlineStr">
        <is>
          <t>Model convention</t>
        </is>
      </c>
      <c r="B14" s="3" t="inlineStr">
        <is>
          <t>Yellow = input. White = formula. Grey = measured from SQL.</t>
        </is>
      </c>
    </row>
    <row r="15" ht="15" customHeight="1">
      <c r="B15" s="3" t="inlineStr"/>
    </row>
    <row r="16" ht="30" customHeight="1">
      <c r="A16" s="2" t="inlineStr">
        <is>
          <t>Native Data Table</t>
        </is>
      </c>
      <c r="B16" s="3" t="inlineStr">
        <is>
          <t>The Sensitivity grid is written as explicit formulas rather than a native Data Table, so each cell is auditable. To build the native version: put the net-impact formula in a corner cell, select the grid, Data &gt; What-If Analysis &gt; Data Table, row input = service level, column input = L_excess.</t>
        </is>
      </c>
    </row>
    <row r="17" ht="30" customHeight="1">
      <c r="A17" s="2" t="inlineStr">
        <is>
          <t>Native Scenarios</t>
        </is>
      </c>
      <c r="B17" s="3" t="inlineStr">
        <is>
          <t>To re-create Scenario Summary as native scenarios: Data &gt; What-If Analysis &gt; Scenario Manager &gt; Add, changing cell = the service-level cell on ROP Model, one scenario per policy, then Summary with the net-impact cells as result cells.</t>
        </is>
      </c>
    </row>
    <row r="18" ht="15" customHeight="1">
      <c r="B18" s="3" t="inlineStr"/>
    </row>
    <row r="19" ht="30" customHeight="1">
      <c r="A19" s="2" t="inlineStr">
        <is>
          <t>Caveat</t>
        </is>
      </c>
      <c r="B19" s="3" t="inlineStr">
        <is>
          <t>Lost revenue is estimated, not observed — unmet demand is never logged. The corrected estimator is validated against withheld ground truth at 103% coverage (src/validate_estimates.py). The naive SQL figure recovers only 39% and is carried as a floor, not the headline.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10" customWidth="1" min="4" max="4"/>
    <col width="62" customWidth="1" min="5" max="5"/>
  </cols>
  <sheetData>
    <row r="1" ht="26" customHeight="1">
      <c r="A1" s="1" t="inlineStr">
        <is>
          <t>INPUTS &amp; ASSUMPTIONS  —  yellow cells are editable; everything else derives from them</t>
        </is>
      </c>
    </row>
    <row r="3">
      <c r="A3" s="4" t="inlineStr">
        <is>
          <t>Segment: dairy SKUs at dark stores 3, 7 and 11</t>
        </is>
      </c>
    </row>
    <row r="4">
      <c r="B4" s="5" t="inlineStr">
        <is>
          <t>Mean demand per SKU per day (units)</t>
        </is>
      </c>
      <c r="C4" s="6" t="n">
        <v>3.0957</v>
      </c>
      <c r="E4" s="7" t="inlineStr">
        <is>
          <t>Censored-Poisson MLE (src/estimate_lost_revenue.py), not a raw sales average</t>
        </is>
      </c>
    </row>
    <row r="5">
      <c r="B5" s="5" t="inlineStr">
        <is>
          <t>SD of daily demand per SKU (units)</t>
        </is>
      </c>
      <c r="C5" s="6" t="n">
        <v>1.7595</v>
      </c>
      <c r="E5" s="7">
        <f> SQRT(mu_d): demand is Poisson, so variance equals the mean</f>
        <v/>
      </c>
    </row>
    <row r="6">
      <c r="B6" s="5" t="inlineStr">
        <is>
          <t>Nominal lead time (days)</t>
        </is>
      </c>
      <c r="C6" s="6" t="n">
        <v>3.294</v>
      </c>
      <c r="E6" s="7" t="inlineStr">
        <is>
          <t>What the current reorder point is sized on (SKU master)</t>
        </is>
      </c>
    </row>
    <row r="7">
      <c r="B7" s="5" t="inlineStr">
        <is>
          <t>Excess lead time vs peer stores (days)</t>
        </is>
      </c>
      <c r="C7" s="6" t="n">
        <v>1.031</v>
      </c>
      <c r="E7" s="7" t="inlineStr">
        <is>
          <t>MEASURED from stock-arrival timing — this is the defect</t>
        </is>
      </c>
    </row>
    <row r="8">
      <c r="B8" s="5" t="inlineStr">
        <is>
          <t>SD of lead time (days)</t>
        </is>
      </c>
      <c r="C8" s="6" t="n">
        <v>0.49</v>
      </c>
      <c r="E8" s="7" t="inlineStr">
        <is>
          <t>Cycle-to-cycle variability in supplier delay</t>
        </is>
      </c>
    </row>
    <row r="9">
      <c r="B9" s="5" t="inlineStr">
        <is>
          <t>Unit cost</t>
        </is>
      </c>
      <c r="C9" s="8" t="n">
        <v>43.9</v>
      </c>
      <c r="E9" s="7" t="inlineStr">
        <is>
          <t>Segment mean</t>
        </is>
      </c>
    </row>
    <row r="10">
      <c r="B10" s="5" t="inlineStr">
        <is>
          <t>Unit price</t>
        </is>
      </c>
      <c r="C10" s="8" t="n">
        <v>66.05</v>
      </c>
      <c r="E10" s="7" t="inlineStr">
        <is>
          <t>Segment mean</t>
        </is>
      </c>
    </row>
    <row r="11">
      <c r="B11" s="5" t="inlineStr">
        <is>
          <t>Unit margin</t>
        </is>
      </c>
      <c r="C11" s="8" t="n">
        <v>22.15</v>
      </c>
      <c r="E11" s="7">
        <f> unit_price - unit_cost</f>
        <v/>
      </c>
    </row>
    <row r="12">
      <c r="B12" s="5" t="inlineStr">
        <is>
          <t>Shelf life (days)</t>
        </is>
      </c>
      <c r="C12" s="6" t="n">
        <v>6.7</v>
      </c>
      <c r="E12" s="7" t="inlineStr">
        <is>
          <t>Binding constraint on how much safety stock dairy can physically hold</t>
        </is>
      </c>
    </row>
    <row r="13">
      <c r="B13" s="5" t="inlineStr">
        <is>
          <t>Stores in scope</t>
        </is>
      </c>
      <c r="C13" s="9" t="n">
        <v>3</v>
      </c>
      <c r="E13" s="7" t="inlineStr">
        <is>
          <t>Stores 3, 7, 11</t>
        </is>
      </c>
    </row>
    <row r="14">
      <c r="B14" s="5" t="inlineStr">
        <is>
          <t>Dairy SKUs per store</t>
        </is>
      </c>
      <c r="C14" s="9" t="n">
        <v>30</v>
      </c>
      <c r="E14" s="7" t="inlineStr"/>
    </row>
    <row r="16">
      <c r="A16" s="4" t="inlineStr">
        <is>
          <t>Economic assumptions</t>
        </is>
      </c>
    </row>
    <row r="17">
      <c r="B17" s="5" t="inlineStr">
        <is>
          <t>Annual inventory holding rate</t>
        </is>
      </c>
      <c r="C17" s="10" t="n">
        <v>0.25</v>
      </c>
      <c r="E17" s="7" t="inlineStr">
        <is>
          <t>Capital + cold chain + space, as a share of unit cost</t>
        </is>
      </c>
    </row>
    <row r="18">
      <c r="B18" s="5" t="inlineStr">
        <is>
          <t>Replenishment cycle (days)</t>
        </is>
      </c>
      <c r="C18" s="9" t="n">
        <v>7</v>
      </c>
      <c r="E18" s="7" t="inlineStr">
        <is>
          <t>Current policy orders one week of cover</t>
        </is>
      </c>
    </row>
    <row r="19">
      <c r="B19" s="5" t="inlineStr">
        <is>
          <t>Days per month</t>
        </is>
      </c>
      <c r="C19" s="9" t="n">
        <v>30</v>
      </c>
      <c r="E19" s="7" t="inlineStr"/>
    </row>
    <row r="21">
      <c r="A21" s="4" t="inlineStr">
        <is>
          <t>Measured baseline (from SQL — anchors the model to observed reality)</t>
        </is>
      </c>
    </row>
    <row r="22">
      <c r="B22" s="5" t="inlineStr">
        <is>
          <t>Lost units per SKU per month, today</t>
        </is>
      </c>
      <c r="C22" s="11" t="n">
        <v>11.84125925925926</v>
      </c>
      <c r="E22" s="7" t="inlineStr">
        <is>
          <t>Censored-demand estimate q9, current policy</t>
        </is>
      </c>
    </row>
    <row r="23">
      <c r="B23" s="5" t="inlineStr">
        <is>
          <t>Segment revenue lost per month</t>
        </is>
      </c>
      <c r="C23" s="12" t="n">
        <v>65476.53333333333</v>
      </c>
      <c r="E23" s="7" t="inlineStr">
        <is>
          <t>What the targeted fix is competing for</t>
        </is>
      </c>
    </row>
    <row r="24">
      <c r="B24" s="5" t="inlineStr">
        <is>
          <t>Segment margin lost per month</t>
        </is>
      </c>
      <c r="C24" s="12" t="n">
        <v>23221.74</v>
      </c>
      <c r="E24" s="7" t="inlineStr"/>
    </row>
    <row r="26">
      <c r="A26" s="4" t="inlineStr">
        <is>
          <t>Derived quantities</t>
        </is>
      </c>
    </row>
    <row r="27">
      <c r="B27" s="5" t="inlineStr">
        <is>
          <t>Actual lead time (days)</t>
        </is>
      </c>
      <c r="C27" s="13">
        <f>L_nom+L_excess</f>
        <v/>
      </c>
      <c r="E27" s="7" t="inlineStr">
        <is>
          <t>What the goods really take</t>
        </is>
      </c>
    </row>
    <row r="28">
      <c r="B28" s="5" t="inlineStr">
        <is>
          <t>SD of demand over lead time (units)</t>
        </is>
      </c>
      <c r="C28" s="13">
        <f>SQRT(L_act*sigma_d^2+mu_d^2*sigma_LT^2)</f>
        <v/>
      </c>
      <c r="E28" s="7" t="inlineStr">
        <is>
          <t>Combines demand risk and lead-time risk</t>
        </is>
      </c>
    </row>
    <row r="29">
      <c r="B29" s="5" t="inlineStr">
        <is>
          <t>Order quantity (units)</t>
        </is>
      </c>
      <c r="C29" s="13">
        <f>mu_d*cycle_days</f>
        <v/>
      </c>
      <c r="E29" s="7" t="inlineStr"/>
    </row>
    <row r="30">
      <c r="B30" s="5" t="inlineStr">
        <is>
          <t>Replenishment cycles per month</t>
        </is>
      </c>
      <c r="C30" s="13">
        <f>days_month/cycle_days</f>
        <v/>
      </c>
      <c r="E30" s="7" t="inlineStr"/>
    </row>
    <row r="31">
      <c r="B31" s="5" t="inlineStr">
        <is>
          <t>Current reorder point (units)</t>
        </is>
      </c>
      <c r="C31" s="13">
        <f>mu_d*L_nom</f>
        <v/>
      </c>
      <c r="E31" s="7" t="inlineStr">
        <is>
          <t>Sized on NOMINAL lead time — the defect</t>
        </is>
      </c>
    </row>
    <row r="32">
      <c r="B32" s="5" t="inlineStr">
        <is>
          <t>Implied z of current policy</t>
        </is>
      </c>
      <c r="C32" s="13">
        <f>(rop_current-mu_d*L_act)/sigma_DL</f>
        <v/>
      </c>
      <c r="E32" s="7" t="inlineStr">
        <is>
          <t>Negative: today's reorder point sits BELOW mean lead-time demand</t>
        </is>
      </c>
    </row>
    <row r="33">
      <c r="B33" s="5" t="inlineStr">
        <is>
          <t>Model calibration factor</t>
        </is>
      </c>
      <c r="C33" s="13">
        <f>obs_units/(sigma_DL*(NORMDIST(z_current,0,1,FALSE)-z_current*(1-NORMSDIST(z_current)))*cycles_pm)</f>
        <v/>
      </c>
      <c r="E33" s="7" t="inlineStr">
        <is>
          <t>Solves so the model exactly reproduces today's measured loss; the model is then used only for relative improvement</t>
        </is>
      </c>
    </row>
    <row r="34">
      <c r="B34" s="5" t="inlineStr">
        <is>
          <t>Holding cost per unit per cycle</t>
        </is>
      </c>
      <c r="C34" s="14">
        <f>unit_cost*holding_rate*cycle_days/365</f>
        <v/>
      </c>
      <c r="E34" s="7" t="inlineStr"/>
    </row>
    <row r="35">
      <c r="B35" s="5" t="inlineStr">
        <is>
          <t>Newsvendor critical ratio</t>
        </is>
      </c>
      <c r="C35" s="15">
        <f>unit_margin/(unit_margin+hold_unit_cycle)</f>
        <v/>
      </c>
      <c r="E35" s="7" t="inlineStr">
        <is>
          <t>Economically optimal cycle service level</t>
        </is>
      </c>
    </row>
    <row r="37">
      <c r="B37" s="16" t="inlineStr">
        <is>
          <t>Variance decomposition — is the driver demand or lead time?</t>
        </is>
      </c>
    </row>
    <row r="38">
      <c r="B38" s="5" t="inlineStr">
        <is>
          <t>Share of variance from demand volatility</t>
        </is>
      </c>
      <c r="C38" s="17">
        <f>L_act*sigma_d^2/sigma_DL^2</f>
        <v/>
      </c>
    </row>
    <row r="39">
      <c r="B39" s="5" t="inlineStr">
        <is>
          <t>Share of variance from lead-time volatility</t>
        </is>
      </c>
      <c r="C39" s="17">
        <f>mu_d^2*sigma_LT^2/sigma_DL^2</f>
        <v/>
      </c>
    </row>
    <row r="40">
      <c r="B40" s="5" t="inlineStr">
        <is>
          <t>Units short per cycle from lead-time MEAN gap</t>
        </is>
      </c>
      <c r="C40" s="18">
        <f>mu_d*L_excess</f>
        <v/>
      </c>
    </row>
    <row r="41">
      <c r="B41" s="7" t="inlineStr">
        <is>
          <t>Read together: lead-time VARIANCE is minor, but the lead-time MEAN gap removes whole units of cover every cycle. The defect is a bias, not noise — so the fix is re-sizing the reorder point, not merely buffering it.</t>
        </is>
      </c>
    </row>
  </sheetData>
  <mergeCells count="5">
    <mergeCell ref="A16:F16"/>
    <mergeCell ref="A1:F1"/>
    <mergeCell ref="A26:F26"/>
    <mergeCell ref="A3:F3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6" customHeight="1">
      <c r="A1" s="1" t="inlineStr">
        <is>
          <t>REORDER POINT MODEL  —  ROP = (mu_d x L_act) + z x sigma_DL</t>
        </is>
      </c>
    </row>
    <row r="3">
      <c r="A3" s="7" t="inlineStr">
        <is>
          <t>Every column below is a live formula over the Inputs sheet.</t>
        </is>
      </c>
    </row>
    <row r="5" ht="30" customHeight="1">
      <c r="A5" s="19" t="inlineStr">
        <is>
          <t>Policy</t>
        </is>
      </c>
      <c r="B5" s="19" t="inlineStr">
        <is>
          <t>Service level</t>
        </is>
      </c>
      <c r="C5" s="19" t="inlineStr">
        <is>
          <t>z</t>
        </is>
      </c>
      <c r="D5" s="19" t="inlineStr">
        <is>
          <t>Reorder point (u)</t>
        </is>
      </c>
      <c r="E5" s="19" t="inlineStr">
        <is>
          <t>Safety stock (u)</t>
        </is>
      </c>
      <c r="F5" s="19" t="inlineStr">
        <is>
          <t>Loss fn L(z)</t>
        </is>
      </c>
      <c r="G5" s="19" t="inlineStr">
        <is>
          <t>Lost units /SKU/mo</t>
        </is>
      </c>
      <c r="H5" s="19" t="inlineStr">
        <is>
          <t>Fill rate</t>
        </is>
      </c>
      <c r="I5" s="19" t="inlineStr">
        <is>
          <t>Recovery share</t>
        </is>
      </c>
      <c r="J5" s="19" t="inlineStr">
        <is>
          <t>Revenue recovered /mo</t>
        </is>
      </c>
      <c r="K5" s="19" t="inlineStr">
        <is>
          <t>Margin recovered /mo</t>
        </is>
      </c>
      <c r="L5" s="19" t="inlineStr">
        <is>
          <t>Incr. holding /mo</t>
        </is>
      </c>
      <c r="M5" s="19" t="inlineStr">
        <is>
          <t>Net margin impact /mo</t>
        </is>
      </c>
    </row>
    <row r="6">
      <c r="A6" s="20" t="inlineStr">
        <is>
          <t>Current (naive, no safety stock)</t>
        </is>
      </c>
      <c r="B6" s="21">
        <f>NORMSDIST(C6)</f>
        <v/>
      </c>
      <c r="C6" s="22">
        <f>z_current</f>
        <v/>
      </c>
      <c r="D6" s="22">
        <f>rop_current</f>
        <v/>
      </c>
      <c r="E6" s="22">
        <f>D6-mu_d*L_act</f>
        <v/>
      </c>
      <c r="F6" s="22">
        <f>NORMDIST(C6,0,1,FALSE)-C6*(1-NORMSDIST(C6))</f>
        <v/>
      </c>
      <c r="G6" s="22">
        <f>sigma_DL*F6*cycles_pm*calib</f>
        <v/>
      </c>
      <c r="H6" s="21">
        <f>1-G6/(mu_d*days_month)</f>
        <v/>
      </c>
      <c r="I6" s="21">
        <f>(obs_units-G6)/obs_units</f>
        <v/>
      </c>
      <c r="J6" s="23">
        <f>I6*seg_rev_loss</f>
        <v/>
      </c>
      <c r="K6" s="23">
        <f>I6*seg_mgn_loss</f>
        <v/>
      </c>
      <c r="L6" s="23">
        <f>((order_qty/2+E6)-(order_qty/2+E6))*unit_cost*(holding_rate/12)*n_stores*n_skus</f>
        <v/>
      </c>
      <c r="M6" s="24">
        <f>K6-L6-N6</f>
        <v/>
      </c>
      <c r="N6" s="23">
        <f>(MAX(0,(order_qty/2+E6)-shelf_life*mu_d)-MAX(0,(order_qty/2+E6)-shelf_life*mu_d))*unit_cost*cycles_pm*n_stores*n_skus</f>
        <v/>
      </c>
    </row>
    <row r="7">
      <c r="A7" s="5" t="inlineStr">
        <is>
          <t>Policy A — 90% service</t>
        </is>
      </c>
      <c r="B7" s="25" t="n">
        <v>0.9</v>
      </c>
      <c r="C7" s="22">
        <f>NORMSINV(B7)</f>
        <v/>
      </c>
      <c r="D7" s="22">
        <f>mu_d*L_act+C7*sigma_DL</f>
        <v/>
      </c>
      <c r="E7" s="22">
        <f>D7-mu_d*L_act</f>
        <v/>
      </c>
      <c r="F7" s="22">
        <f>NORMDIST(C7,0,1,FALSE)-C7*(1-NORMSDIST(C7))</f>
        <v/>
      </c>
      <c r="G7" s="22">
        <f>sigma_DL*F7*cycles_pm*calib</f>
        <v/>
      </c>
      <c r="H7" s="21">
        <f>1-G7/(mu_d*days_month)</f>
        <v/>
      </c>
      <c r="I7" s="21">
        <f>(obs_units-G7)/obs_units</f>
        <v/>
      </c>
      <c r="J7" s="23">
        <f>I7*seg_rev_loss</f>
        <v/>
      </c>
      <c r="K7" s="23">
        <f>I7*seg_mgn_loss</f>
        <v/>
      </c>
      <c r="L7" s="23">
        <f>((order_qty/2+E7)-(order_qty/2+E6))*unit_cost*(holding_rate/12)*n_stores*n_skus</f>
        <v/>
      </c>
      <c r="M7" s="24">
        <f>K7-L7-N7</f>
        <v/>
      </c>
      <c r="N7" s="23">
        <f>(MAX(0,(order_qty/2+E7)-shelf_life*mu_d)-MAX(0,(order_qty/2+E6)-shelf_life*mu_d))*unit_cost*cycles_pm*n_stores*n_skus</f>
        <v/>
      </c>
    </row>
    <row r="8">
      <c r="A8" s="5" t="inlineStr">
        <is>
          <t>Policy B — 95% service</t>
        </is>
      </c>
      <c r="B8" s="25" t="n">
        <v>0.95</v>
      </c>
      <c r="C8" s="22">
        <f>NORMSINV(B8)</f>
        <v/>
      </c>
      <c r="D8" s="22">
        <f>mu_d*L_act+C8*sigma_DL</f>
        <v/>
      </c>
      <c r="E8" s="22">
        <f>D8-mu_d*L_act</f>
        <v/>
      </c>
      <c r="F8" s="22">
        <f>NORMDIST(C8,0,1,FALSE)-C8*(1-NORMSDIST(C8))</f>
        <v/>
      </c>
      <c r="G8" s="22">
        <f>sigma_DL*F8*cycles_pm*calib</f>
        <v/>
      </c>
      <c r="H8" s="21">
        <f>1-G8/(mu_d*days_month)</f>
        <v/>
      </c>
      <c r="I8" s="21">
        <f>(obs_units-G8)/obs_units</f>
        <v/>
      </c>
      <c r="J8" s="23">
        <f>I8*seg_rev_loss</f>
        <v/>
      </c>
      <c r="K8" s="23">
        <f>I8*seg_mgn_loss</f>
        <v/>
      </c>
      <c r="L8" s="23">
        <f>((order_qty/2+E8)-(order_qty/2+E6))*unit_cost*(holding_rate/12)*n_stores*n_skus</f>
        <v/>
      </c>
      <c r="M8" s="24">
        <f>K8-L8-N8</f>
        <v/>
      </c>
      <c r="N8" s="23">
        <f>(MAX(0,(order_qty/2+E8)-shelf_life*mu_d)-MAX(0,(order_qty/2+E6)-shelf_life*mu_d))*unit_cost*cycles_pm*n_stores*n_skus</f>
        <v/>
      </c>
    </row>
    <row r="9">
      <c r="A9" s="5" t="inlineStr">
        <is>
          <t>Policy C — 99% service</t>
        </is>
      </c>
      <c r="B9" s="25" t="n">
        <v>0.99</v>
      </c>
      <c r="C9" s="22">
        <f>NORMSINV(B9)</f>
        <v/>
      </c>
      <c r="D9" s="22">
        <f>mu_d*L_act+C9*sigma_DL</f>
        <v/>
      </c>
      <c r="E9" s="22">
        <f>D9-mu_d*L_act</f>
        <v/>
      </c>
      <c r="F9" s="22">
        <f>NORMDIST(C9,0,1,FALSE)-C9*(1-NORMSDIST(C9))</f>
        <v/>
      </c>
      <c r="G9" s="22">
        <f>sigma_DL*F9*cycles_pm*calib</f>
        <v/>
      </c>
      <c r="H9" s="21">
        <f>1-G9/(mu_d*days_month)</f>
        <v/>
      </c>
      <c r="I9" s="21">
        <f>(obs_units-G9)/obs_units</f>
        <v/>
      </c>
      <c r="J9" s="23">
        <f>I9*seg_rev_loss</f>
        <v/>
      </c>
      <c r="K9" s="23">
        <f>I9*seg_mgn_loss</f>
        <v/>
      </c>
      <c r="L9" s="23">
        <f>((order_qty/2+E9)-(order_qty/2+E6))*unit_cost*(holding_rate/12)*n_stores*n_skus</f>
        <v/>
      </c>
      <c r="M9" s="24">
        <f>K9-L9-N9</f>
        <v/>
      </c>
      <c r="N9" s="23">
        <f>(MAX(0,(order_qty/2+E9)-shelf_life*mu_d)-MAX(0,(order_qty/2+E6)-shelf_life*mu_d))*unit_cost*cycles_pm*n_stores*n_skus</f>
        <v/>
      </c>
    </row>
    <row r="11">
      <c r="A11" s="4" t="inlineStr">
        <is>
          <t>Shelf-life check — can dairy physically hold this much safety stock?</t>
        </is>
      </c>
    </row>
    <row r="12" ht="30" customHeight="1">
      <c r="A12" s="19" t="inlineStr">
        <is>
          <t>Policy</t>
        </is>
      </c>
      <c r="B12" s="19" t="inlineStr">
        <is>
          <t>Avg inventory (u)</t>
        </is>
      </c>
      <c r="C12" s="19" t="inlineStr">
        <is>
          <t>Days of cover</t>
        </is>
      </c>
      <c r="D12" s="19" t="inlineStr">
        <is>
          <t>Shelf life (d)</t>
        </is>
      </c>
      <c r="E12" s="19" t="inlineStr">
        <is>
          <t>Spoilage risk</t>
        </is>
      </c>
      <c r="F12" s="19" t="inlineStr">
        <is>
          <t>Verdict</t>
        </is>
      </c>
    </row>
    <row r="13">
      <c r="A13" s="5" t="inlineStr">
        <is>
          <t>Current (naive, no safety stock)</t>
        </is>
      </c>
      <c r="B13" s="22">
        <f>order_qty/2+E6</f>
        <v/>
      </c>
      <c r="C13" s="22">
        <f>B13/mu_d</f>
        <v/>
      </c>
      <c r="D13" s="22">
        <f>shelf_life</f>
        <v/>
      </c>
      <c r="E13" s="22">
        <f>MAX(0,B13-shelf_life*mu_d)</f>
        <v/>
      </c>
      <c r="F13" s="5">
        <f>IF(C13&gt;shelf_life,"BREACHES shelf life",IF(C13&gt;shelf_life*0.9,"Within 10% of limit","Safe"))</f>
        <v/>
      </c>
    </row>
    <row r="14">
      <c r="A14" s="5" t="inlineStr">
        <is>
          <t>Policy A — 90% service</t>
        </is>
      </c>
      <c r="B14" s="22">
        <f>order_qty/2+E7</f>
        <v/>
      </c>
      <c r="C14" s="22">
        <f>B14/mu_d</f>
        <v/>
      </c>
      <c r="D14" s="22">
        <f>shelf_life</f>
        <v/>
      </c>
      <c r="E14" s="22">
        <f>MAX(0,B14-shelf_life*mu_d)</f>
        <v/>
      </c>
      <c r="F14" s="5">
        <f>IF(C14&gt;shelf_life,"BREACHES shelf life",IF(C14&gt;shelf_life*0.9,"Within 10% of limit","Safe"))</f>
        <v/>
      </c>
    </row>
    <row r="15">
      <c r="A15" s="5" t="inlineStr">
        <is>
          <t>Policy B — 95% service</t>
        </is>
      </c>
      <c r="B15" s="22">
        <f>order_qty/2+E8</f>
        <v/>
      </c>
      <c r="C15" s="22">
        <f>B15/mu_d</f>
        <v/>
      </c>
      <c r="D15" s="22">
        <f>shelf_life</f>
        <v/>
      </c>
      <c r="E15" s="22">
        <f>MAX(0,B15-shelf_life*mu_d)</f>
        <v/>
      </c>
      <c r="F15" s="5">
        <f>IF(C15&gt;shelf_life,"BREACHES shelf life",IF(C15&gt;shelf_life*0.9,"Within 10% of limit","Safe"))</f>
        <v/>
      </c>
    </row>
    <row r="16">
      <c r="A16" s="5" t="inlineStr">
        <is>
          <t>Policy C — 99% service</t>
        </is>
      </c>
      <c r="B16" s="22">
        <f>order_qty/2+E9</f>
        <v/>
      </c>
      <c r="C16" s="22">
        <f>B16/mu_d</f>
        <v/>
      </c>
      <c r="D16" s="22">
        <f>shelf_life</f>
        <v/>
      </c>
      <c r="E16" s="22">
        <f>MAX(0,B16-shelf_life*mu_d)</f>
        <v/>
      </c>
      <c r="F16" s="5">
        <f>IF(C16&gt;shelf_life,"BREACHES shelf life",IF(C16&gt;shelf_life*0.9,"Within 10% of limit","Safe"))</f>
        <v/>
      </c>
    </row>
    <row r="18">
      <c r="A18" s="16" t="inlineStr">
        <is>
          <t>Recommendation</t>
        </is>
      </c>
    </row>
    <row r="19">
      <c r="A19" s="3">
        <f>"Adopt Policy B (95%). It captures "&amp;TEXT(I8/I9,"0.0%")&amp;" of the net value of the "&amp;"99% policy while holding "&amp;TEXT(E9-E8,"0.0")&amp;" fewer units of safety stock per SKU, "&amp;"which keeps days of cover clear of the "&amp;TEXT(shelf_life,"0.0")&amp;"-day dairy shelf life. "&amp;"The newsvendor optimum is "&amp;TEXT(crit_ratio,"0.0%")&amp;", but that sits at the spoilage cliff."</f>
        <v/>
      </c>
    </row>
    <row r="20"/>
    <row r="21"/>
  </sheetData>
  <mergeCells count="3">
    <mergeCell ref="A19:M21"/>
    <mergeCell ref="A11:M11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SENSITIVITY  —  net monthly margin impact by service level x excess lead time</t>
        </is>
      </c>
    </row>
    <row r="3">
      <c r="A3" s="7" t="inlineStr">
        <is>
          <t>Rows vary the lead-time gap; columns vary the target service level. Every cell is a live formula, so this behaves exactly like a native two-way Data Table.</t>
        </is>
      </c>
    </row>
    <row r="5">
      <c r="A5" s="26" t="inlineStr">
        <is>
          <t>Excess lead time (days)  \  Service level</t>
        </is>
      </c>
      <c r="B5" s="27" t="n">
        <v>0.8</v>
      </c>
      <c r="C5" s="27" t="n">
        <v>0.85</v>
      </c>
      <c r="D5" s="27" t="n">
        <v>0.9</v>
      </c>
      <c r="E5" s="27" t="n">
        <v>0.925</v>
      </c>
      <c r="F5" s="27" t="n">
        <v>0.95</v>
      </c>
      <c r="G5" s="27" t="n">
        <v>0.975</v>
      </c>
      <c r="H5" s="27" t="n">
        <v>0.99</v>
      </c>
      <c r="J5" s="28" t="inlineStr">
        <is>
          <t>sigma_DL</t>
        </is>
      </c>
      <c r="K5" s="28" t="inlineStr">
        <is>
          <t>Baseline lost u/SKU/mo</t>
        </is>
      </c>
    </row>
    <row r="6">
      <c r="A6" s="29" t="n">
        <v>0</v>
      </c>
      <c r="B6" s="23">
        <f>MAX(0,((K6)-(J6*(NORMDIST(NORMSINV(B$5),0,1,FALSE)-NORMSINV(B$5)*(1-NORMSDIST(NORMSINV(B$5))))*cycles_pm*calib))*n_stores*n_skus)*unit_margin-((NORMSINV(B$5))-(-mu_d*A6/J6))*J6*unit_cost*(holding_rate/12)*n_stores*n_skus</f>
        <v/>
      </c>
      <c r="C6" s="23">
        <f>MAX(0,((K6)-(J6*(NORMDIST(NORMSINV(C$5),0,1,FALSE)-NORMSINV(C$5)*(1-NORMSDIST(NORMSINV(C$5))))*cycles_pm*calib))*n_stores*n_skus)*unit_margin-((NORMSINV(C$5))-(-mu_d*A6/J6))*J6*unit_cost*(holding_rate/12)*n_stores*n_skus</f>
        <v/>
      </c>
      <c r="D6" s="23">
        <f>MAX(0,((K6)-(J6*(NORMDIST(NORMSINV(D$5),0,1,FALSE)-NORMSINV(D$5)*(1-NORMSDIST(NORMSINV(D$5))))*cycles_pm*calib))*n_stores*n_skus)*unit_margin-((NORMSINV(D$5))-(-mu_d*A6/J6))*J6*unit_cost*(holding_rate/12)*n_stores*n_skus</f>
        <v/>
      </c>
      <c r="E6" s="23">
        <f>MAX(0,((K6)-(J6*(NORMDIST(NORMSINV(E$5),0,1,FALSE)-NORMSINV(E$5)*(1-NORMSDIST(NORMSINV(E$5))))*cycles_pm*calib))*n_stores*n_skus)*unit_margin-((NORMSINV(E$5))-(-mu_d*A6/J6))*J6*unit_cost*(holding_rate/12)*n_stores*n_skus</f>
        <v/>
      </c>
      <c r="F6" s="23">
        <f>MAX(0,((K6)-(J6*(NORMDIST(NORMSINV(F$5),0,1,FALSE)-NORMSINV(F$5)*(1-NORMSDIST(NORMSINV(F$5))))*cycles_pm*calib))*n_stores*n_skus)*unit_margin-((NORMSINV(F$5))-(-mu_d*A6/J6))*J6*unit_cost*(holding_rate/12)*n_stores*n_skus</f>
        <v/>
      </c>
      <c r="G6" s="23">
        <f>MAX(0,((K6)-(J6*(NORMDIST(NORMSINV(G$5),0,1,FALSE)-NORMSINV(G$5)*(1-NORMSDIST(NORMSINV(G$5))))*cycles_pm*calib))*n_stores*n_skus)*unit_margin-((NORMSINV(G$5))-(-mu_d*A6/J6))*J6*unit_cost*(holding_rate/12)*n_stores*n_skus</f>
        <v/>
      </c>
      <c r="H6" s="23">
        <f>MAX(0,((K6)-(J6*(NORMDIST(NORMSINV(H$5),0,1,FALSE)-NORMSINV(H$5)*(1-NORMSDIST(NORMSINV(H$5))))*cycles_pm*calib))*n_stores*n_skus)*unit_margin-((NORMSINV(H$5))-(-mu_d*A6/J6))*J6*unit_cost*(holding_rate/12)*n_stores*n_skus</f>
        <v/>
      </c>
      <c r="J6" s="30">
        <f>SQRT((L_nom+A6)*sigma_d^2+mu_d^2*sigma_LT^2)</f>
        <v/>
      </c>
      <c r="K6" s="30">
        <f>J6*(NORMDIST((-mu_d*A6/J6),0,1,FALSE)-(-mu_d*A6/J6)*(1-NORMSDIST((-mu_d*A6/J6))))*cycles_pm*calib</f>
        <v/>
      </c>
    </row>
    <row r="7">
      <c r="A7" s="29" t="n">
        <v>0.5</v>
      </c>
      <c r="B7" s="23">
        <f>MAX(0,((K7)-(J7*(NORMDIST(NORMSINV(B$5),0,1,FALSE)-NORMSINV(B$5)*(1-NORMSDIST(NORMSINV(B$5))))*cycles_pm*calib))*n_stores*n_skus)*unit_margin-((NORMSINV(B$5))-(-mu_d*A7/J7))*J7*unit_cost*(holding_rate/12)*n_stores*n_skus</f>
        <v/>
      </c>
      <c r="C7" s="23">
        <f>MAX(0,((K7)-(J7*(NORMDIST(NORMSINV(C$5),0,1,FALSE)-NORMSINV(C$5)*(1-NORMSDIST(NORMSINV(C$5))))*cycles_pm*calib))*n_stores*n_skus)*unit_margin-((NORMSINV(C$5))-(-mu_d*A7/J7))*J7*unit_cost*(holding_rate/12)*n_stores*n_skus</f>
        <v/>
      </c>
      <c r="D7" s="23">
        <f>MAX(0,((K7)-(J7*(NORMDIST(NORMSINV(D$5),0,1,FALSE)-NORMSINV(D$5)*(1-NORMSDIST(NORMSINV(D$5))))*cycles_pm*calib))*n_stores*n_skus)*unit_margin-((NORMSINV(D$5))-(-mu_d*A7/J7))*J7*unit_cost*(holding_rate/12)*n_stores*n_skus</f>
        <v/>
      </c>
      <c r="E7" s="23">
        <f>MAX(0,((K7)-(J7*(NORMDIST(NORMSINV(E$5),0,1,FALSE)-NORMSINV(E$5)*(1-NORMSDIST(NORMSINV(E$5))))*cycles_pm*calib))*n_stores*n_skus)*unit_margin-((NORMSINV(E$5))-(-mu_d*A7/J7))*J7*unit_cost*(holding_rate/12)*n_stores*n_skus</f>
        <v/>
      </c>
      <c r="F7" s="23">
        <f>MAX(0,((K7)-(J7*(NORMDIST(NORMSINV(F$5),0,1,FALSE)-NORMSINV(F$5)*(1-NORMSDIST(NORMSINV(F$5))))*cycles_pm*calib))*n_stores*n_skus)*unit_margin-((NORMSINV(F$5))-(-mu_d*A7/J7))*J7*unit_cost*(holding_rate/12)*n_stores*n_skus</f>
        <v/>
      </c>
      <c r="G7" s="23">
        <f>MAX(0,((K7)-(J7*(NORMDIST(NORMSINV(G$5),0,1,FALSE)-NORMSINV(G$5)*(1-NORMSDIST(NORMSINV(G$5))))*cycles_pm*calib))*n_stores*n_skus)*unit_margin-((NORMSINV(G$5))-(-mu_d*A7/J7))*J7*unit_cost*(holding_rate/12)*n_stores*n_skus</f>
        <v/>
      </c>
      <c r="H7" s="23">
        <f>MAX(0,((K7)-(J7*(NORMDIST(NORMSINV(H$5),0,1,FALSE)-NORMSINV(H$5)*(1-NORMSDIST(NORMSINV(H$5))))*cycles_pm*calib))*n_stores*n_skus)*unit_margin-((NORMSINV(H$5))-(-mu_d*A7/J7))*J7*unit_cost*(holding_rate/12)*n_stores*n_skus</f>
        <v/>
      </c>
      <c r="J7" s="30">
        <f>SQRT((L_nom+A7)*sigma_d^2+mu_d^2*sigma_LT^2)</f>
        <v/>
      </c>
      <c r="K7" s="30">
        <f>J7*(NORMDIST((-mu_d*A7/J7),0,1,FALSE)-(-mu_d*A7/J7)*(1-NORMSDIST((-mu_d*A7/J7))))*cycles_pm*calib</f>
        <v/>
      </c>
    </row>
    <row r="8">
      <c r="A8" s="29" t="n">
        <v>1</v>
      </c>
      <c r="B8" s="23">
        <f>MAX(0,((K8)-(J8*(NORMDIST(NORMSINV(B$5),0,1,FALSE)-NORMSINV(B$5)*(1-NORMSDIST(NORMSINV(B$5))))*cycles_pm*calib))*n_stores*n_skus)*unit_margin-((NORMSINV(B$5))-(-mu_d*A8/J8))*J8*unit_cost*(holding_rate/12)*n_stores*n_skus</f>
        <v/>
      </c>
      <c r="C8" s="23">
        <f>MAX(0,((K8)-(J8*(NORMDIST(NORMSINV(C$5),0,1,FALSE)-NORMSINV(C$5)*(1-NORMSDIST(NORMSINV(C$5))))*cycles_pm*calib))*n_stores*n_skus)*unit_margin-((NORMSINV(C$5))-(-mu_d*A8/J8))*J8*unit_cost*(holding_rate/12)*n_stores*n_skus</f>
        <v/>
      </c>
      <c r="D8" s="23">
        <f>MAX(0,((K8)-(J8*(NORMDIST(NORMSINV(D$5),0,1,FALSE)-NORMSINV(D$5)*(1-NORMSDIST(NORMSINV(D$5))))*cycles_pm*calib))*n_stores*n_skus)*unit_margin-((NORMSINV(D$5))-(-mu_d*A8/J8))*J8*unit_cost*(holding_rate/12)*n_stores*n_skus</f>
        <v/>
      </c>
      <c r="E8" s="23">
        <f>MAX(0,((K8)-(J8*(NORMDIST(NORMSINV(E$5),0,1,FALSE)-NORMSINV(E$5)*(1-NORMSDIST(NORMSINV(E$5))))*cycles_pm*calib))*n_stores*n_skus)*unit_margin-((NORMSINV(E$5))-(-mu_d*A8/J8))*J8*unit_cost*(holding_rate/12)*n_stores*n_skus</f>
        <v/>
      </c>
      <c r="F8" s="23">
        <f>MAX(0,((K8)-(J8*(NORMDIST(NORMSINV(F$5),0,1,FALSE)-NORMSINV(F$5)*(1-NORMSDIST(NORMSINV(F$5))))*cycles_pm*calib))*n_stores*n_skus)*unit_margin-((NORMSINV(F$5))-(-mu_d*A8/J8))*J8*unit_cost*(holding_rate/12)*n_stores*n_skus</f>
        <v/>
      </c>
      <c r="G8" s="23">
        <f>MAX(0,((K8)-(J8*(NORMDIST(NORMSINV(G$5),0,1,FALSE)-NORMSINV(G$5)*(1-NORMSDIST(NORMSINV(G$5))))*cycles_pm*calib))*n_stores*n_skus)*unit_margin-((NORMSINV(G$5))-(-mu_d*A8/J8))*J8*unit_cost*(holding_rate/12)*n_stores*n_skus</f>
        <v/>
      </c>
      <c r="H8" s="23">
        <f>MAX(0,((K8)-(J8*(NORMDIST(NORMSINV(H$5),0,1,FALSE)-NORMSINV(H$5)*(1-NORMSDIST(NORMSINV(H$5))))*cycles_pm*calib))*n_stores*n_skus)*unit_margin-((NORMSINV(H$5))-(-mu_d*A8/J8))*J8*unit_cost*(holding_rate/12)*n_stores*n_skus</f>
        <v/>
      </c>
      <c r="J8" s="30">
        <f>SQRT((L_nom+A8)*sigma_d^2+mu_d^2*sigma_LT^2)</f>
        <v/>
      </c>
      <c r="K8" s="30">
        <f>J8*(NORMDIST((-mu_d*A8/J8),0,1,FALSE)-(-mu_d*A8/J8)*(1-NORMSDIST((-mu_d*A8/J8))))*cycles_pm*calib</f>
        <v/>
      </c>
    </row>
    <row r="9">
      <c r="A9" s="29" t="n">
        <v>1.5</v>
      </c>
      <c r="B9" s="23">
        <f>MAX(0,((K9)-(J9*(NORMDIST(NORMSINV(B$5),0,1,FALSE)-NORMSINV(B$5)*(1-NORMSDIST(NORMSINV(B$5))))*cycles_pm*calib))*n_stores*n_skus)*unit_margin-((NORMSINV(B$5))-(-mu_d*A9/J9))*J9*unit_cost*(holding_rate/12)*n_stores*n_skus</f>
        <v/>
      </c>
      <c r="C9" s="23">
        <f>MAX(0,((K9)-(J9*(NORMDIST(NORMSINV(C$5),0,1,FALSE)-NORMSINV(C$5)*(1-NORMSDIST(NORMSINV(C$5))))*cycles_pm*calib))*n_stores*n_skus)*unit_margin-((NORMSINV(C$5))-(-mu_d*A9/J9))*J9*unit_cost*(holding_rate/12)*n_stores*n_skus</f>
        <v/>
      </c>
      <c r="D9" s="23">
        <f>MAX(0,((K9)-(J9*(NORMDIST(NORMSINV(D$5),0,1,FALSE)-NORMSINV(D$5)*(1-NORMSDIST(NORMSINV(D$5))))*cycles_pm*calib))*n_stores*n_skus)*unit_margin-((NORMSINV(D$5))-(-mu_d*A9/J9))*J9*unit_cost*(holding_rate/12)*n_stores*n_skus</f>
        <v/>
      </c>
      <c r="E9" s="23">
        <f>MAX(0,((K9)-(J9*(NORMDIST(NORMSINV(E$5),0,1,FALSE)-NORMSINV(E$5)*(1-NORMSDIST(NORMSINV(E$5))))*cycles_pm*calib))*n_stores*n_skus)*unit_margin-((NORMSINV(E$5))-(-mu_d*A9/J9))*J9*unit_cost*(holding_rate/12)*n_stores*n_skus</f>
        <v/>
      </c>
      <c r="F9" s="23">
        <f>MAX(0,((K9)-(J9*(NORMDIST(NORMSINV(F$5),0,1,FALSE)-NORMSINV(F$5)*(1-NORMSDIST(NORMSINV(F$5))))*cycles_pm*calib))*n_stores*n_skus)*unit_margin-((NORMSINV(F$5))-(-mu_d*A9/J9))*J9*unit_cost*(holding_rate/12)*n_stores*n_skus</f>
        <v/>
      </c>
      <c r="G9" s="23">
        <f>MAX(0,((K9)-(J9*(NORMDIST(NORMSINV(G$5),0,1,FALSE)-NORMSINV(G$5)*(1-NORMSDIST(NORMSINV(G$5))))*cycles_pm*calib))*n_stores*n_skus)*unit_margin-((NORMSINV(G$5))-(-mu_d*A9/J9))*J9*unit_cost*(holding_rate/12)*n_stores*n_skus</f>
        <v/>
      </c>
      <c r="H9" s="23">
        <f>MAX(0,((K9)-(J9*(NORMDIST(NORMSINV(H$5),0,1,FALSE)-NORMSINV(H$5)*(1-NORMSDIST(NORMSINV(H$5))))*cycles_pm*calib))*n_stores*n_skus)*unit_margin-((NORMSINV(H$5))-(-mu_d*A9/J9))*J9*unit_cost*(holding_rate/12)*n_stores*n_skus</f>
        <v/>
      </c>
      <c r="J9" s="30">
        <f>SQRT((L_nom+A9)*sigma_d^2+mu_d^2*sigma_LT^2)</f>
        <v/>
      </c>
      <c r="K9" s="30">
        <f>J9*(NORMDIST((-mu_d*A9/J9),0,1,FALSE)-(-mu_d*A9/J9)*(1-NORMSDIST((-mu_d*A9/J9))))*cycles_pm*calib</f>
        <v/>
      </c>
    </row>
    <row r="10">
      <c r="A10" s="29" t="n">
        <v>2</v>
      </c>
      <c r="B10" s="23">
        <f>MAX(0,((K10)-(J10*(NORMDIST(NORMSINV(B$5),0,1,FALSE)-NORMSINV(B$5)*(1-NORMSDIST(NORMSINV(B$5))))*cycles_pm*calib))*n_stores*n_skus)*unit_margin-((NORMSINV(B$5))-(-mu_d*A10/J10))*J10*unit_cost*(holding_rate/12)*n_stores*n_skus</f>
        <v/>
      </c>
      <c r="C10" s="23">
        <f>MAX(0,((K10)-(J10*(NORMDIST(NORMSINV(C$5),0,1,FALSE)-NORMSINV(C$5)*(1-NORMSDIST(NORMSINV(C$5))))*cycles_pm*calib))*n_stores*n_skus)*unit_margin-((NORMSINV(C$5))-(-mu_d*A10/J10))*J10*unit_cost*(holding_rate/12)*n_stores*n_skus</f>
        <v/>
      </c>
      <c r="D10" s="23">
        <f>MAX(0,((K10)-(J10*(NORMDIST(NORMSINV(D$5),0,1,FALSE)-NORMSINV(D$5)*(1-NORMSDIST(NORMSINV(D$5))))*cycles_pm*calib))*n_stores*n_skus)*unit_margin-((NORMSINV(D$5))-(-mu_d*A10/J10))*J10*unit_cost*(holding_rate/12)*n_stores*n_skus</f>
        <v/>
      </c>
      <c r="E10" s="23">
        <f>MAX(0,((K10)-(J10*(NORMDIST(NORMSINV(E$5),0,1,FALSE)-NORMSINV(E$5)*(1-NORMSDIST(NORMSINV(E$5))))*cycles_pm*calib))*n_stores*n_skus)*unit_margin-((NORMSINV(E$5))-(-mu_d*A10/J10))*J10*unit_cost*(holding_rate/12)*n_stores*n_skus</f>
        <v/>
      </c>
      <c r="F10" s="23">
        <f>MAX(0,((K10)-(J10*(NORMDIST(NORMSINV(F$5),0,1,FALSE)-NORMSINV(F$5)*(1-NORMSDIST(NORMSINV(F$5))))*cycles_pm*calib))*n_stores*n_skus)*unit_margin-((NORMSINV(F$5))-(-mu_d*A10/J10))*J10*unit_cost*(holding_rate/12)*n_stores*n_skus</f>
        <v/>
      </c>
      <c r="G10" s="23">
        <f>MAX(0,((K10)-(J10*(NORMDIST(NORMSINV(G$5),0,1,FALSE)-NORMSINV(G$5)*(1-NORMSDIST(NORMSINV(G$5))))*cycles_pm*calib))*n_stores*n_skus)*unit_margin-((NORMSINV(G$5))-(-mu_d*A10/J10))*J10*unit_cost*(holding_rate/12)*n_stores*n_skus</f>
        <v/>
      </c>
      <c r="H10" s="23">
        <f>MAX(0,((K10)-(J10*(NORMDIST(NORMSINV(H$5),0,1,FALSE)-NORMSINV(H$5)*(1-NORMSDIST(NORMSINV(H$5))))*cycles_pm*calib))*n_stores*n_skus)*unit_margin-((NORMSINV(H$5))-(-mu_d*A10/J10))*J10*unit_cost*(holding_rate/12)*n_stores*n_skus</f>
        <v/>
      </c>
      <c r="J10" s="30">
        <f>SQRT((L_nom+A10)*sigma_d^2+mu_d^2*sigma_LT^2)</f>
        <v/>
      </c>
      <c r="K10" s="30">
        <f>J10*(NORMDIST((-mu_d*A10/J10),0,1,FALSE)-(-mu_d*A10/J10)*(1-NORMSDIST((-mu_d*A10/J10))))*cycles_pm*calib</f>
        <v/>
      </c>
    </row>
    <row r="12">
      <c r="A12" s="31" t="inlineStr">
        <is>
          <t>The measured gap is the 1.0-day row. Read ACROSS it and the value barely moves (80% -&gt; 99% adds ~12%); read DOWN the columns and it triples. The size of the lead-time gap, not the service level chosen to cover it, is what drives the prize — which is why the recommendation is to re-size the reorder point to the lead time actually delivered, and why the exact service level inside the 90-99% band is a second-order choice.</t>
        </is>
      </c>
    </row>
    <row r="13"/>
    <row r="14"/>
  </sheetData>
  <mergeCells count="2">
    <mergeCell ref="A12:J14"/>
    <mergeCell ref="A1:L1"/>
  </mergeCells>
  <conditionalFormatting sqref="B6:H10">
    <cfRule type="colorScale" priority="1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 ht="26" customHeight="1">
      <c r="A1" s="1" t="inlineStr">
        <is>
          <t>SCENARIO SUMMARY  —  three service-level policies</t>
        </is>
      </c>
    </row>
    <row r="3">
      <c r="A3" s="7" t="inlineStr">
        <is>
          <t>Laid out the way Excel's Scenario Manager reports, but formula-driven so it stays live. See Read Me to re-create it as native scenarios.</t>
        </is>
      </c>
    </row>
    <row r="5" ht="30" customHeight="1">
      <c r="A5" s="19" t="inlineStr">
        <is>
          <t>Result cell</t>
        </is>
      </c>
      <c r="B5" s="19" t="inlineStr">
        <is>
          <t>Current</t>
        </is>
      </c>
      <c r="C5" s="19" t="inlineStr">
        <is>
          <t>Policy A (90%)</t>
        </is>
      </c>
      <c r="D5" s="19" t="inlineStr">
        <is>
          <t>Policy B (95%)</t>
        </is>
      </c>
      <c r="E5" s="19" t="inlineStr">
        <is>
          <t>Policy C (99%)</t>
        </is>
      </c>
      <c r="F5" s="19" t="inlineStr">
        <is>
          <t>Comment</t>
        </is>
      </c>
    </row>
    <row r="6">
      <c r="A6" s="5" t="inlineStr">
        <is>
          <t>Target service level</t>
        </is>
      </c>
      <c r="B6" s="21">
        <f>'ROP Model'!B6</f>
        <v/>
      </c>
      <c r="C6" s="21">
        <f>'ROP Model'!B7</f>
        <v/>
      </c>
      <c r="D6" s="21">
        <f>'ROP Model'!B8</f>
        <v/>
      </c>
      <c r="E6" s="21">
        <f>'ROP Model'!B9</f>
        <v/>
      </c>
      <c r="F6" s="32" t="inlineStr"/>
    </row>
    <row r="7">
      <c r="A7" s="5" t="inlineStr">
        <is>
          <t>Reorder point (units/SKU)</t>
        </is>
      </c>
      <c r="B7" s="22">
        <f>'ROP Model'!D6</f>
        <v/>
      </c>
      <c r="C7" s="22">
        <f>'ROP Model'!D7</f>
        <v/>
      </c>
      <c r="D7" s="22">
        <f>'ROP Model'!D8</f>
        <v/>
      </c>
      <c r="E7" s="22">
        <f>'ROP Model'!D9</f>
        <v/>
      </c>
      <c r="F7" s="32" t="inlineStr">
        <is>
          <t>Current is sized on nominal lead time</t>
        </is>
      </c>
    </row>
    <row r="8">
      <c r="A8" s="5" t="inlineStr">
        <is>
          <t>Safety stock (units/SKU)</t>
        </is>
      </c>
      <c r="B8" s="22">
        <f>'ROP Model'!E6</f>
        <v/>
      </c>
      <c r="C8" s="22">
        <f>'ROP Model'!E7</f>
        <v/>
      </c>
      <c r="D8" s="22">
        <f>'ROP Model'!E8</f>
        <v/>
      </c>
      <c r="E8" s="22">
        <f>'ROP Model'!E9</f>
        <v/>
      </c>
      <c r="F8" s="32" t="inlineStr">
        <is>
          <t>Negative today = structurally short</t>
        </is>
      </c>
    </row>
    <row r="9">
      <c r="A9" s="5" t="inlineStr">
        <is>
          <t>Lost units /SKU/month</t>
        </is>
      </c>
      <c r="B9" s="22">
        <f>'ROP Model'!G6</f>
        <v/>
      </c>
      <c r="C9" s="22">
        <f>'ROP Model'!G7</f>
        <v/>
      </c>
      <c r="D9" s="22">
        <f>'ROP Model'!G8</f>
        <v/>
      </c>
      <c r="E9" s="22">
        <f>'ROP Model'!G9</f>
        <v/>
      </c>
      <c r="F9" s="32" t="inlineStr"/>
    </row>
    <row r="10">
      <c r="A10" s="5" t="inlineStr">
        <is>
          <t>Fill rate</t>
        </is>
      </c>
      <c r="B10" s="21">
        <f>'ROP Model'!H6</f>
        <v/>
      </c>
      <c r="C10" s="21">
        <f>'ROP Model'!H7</f>
        <v/>
      </c>
      <c r="D10" s="21">
        <f>'ROP Model'!H8</f>
        <v/>
      </c>
      <c r="E10" s="21">
        <f>'ROP Model'!H9</f>
        <v/>
      </c>
      <c r="F10" s="32" t="inlineStr"/>
    </row>
    <row r="11">
      <c r="A11" s="5" t="inlineStr">
        <is>
          <t>Revenue recovered /month</t>
        </is>
      </c>
      <c r="B11" s="23">
        <f>'ROP Model'!J6</f>
        <v/>
      </c>
      <c r="C11" s="23">
        <f>'ROP Model'!J7</f>
        <v/>
      </c>
      <c r="D11" s="23">
        <f>'ROP Model'!J8</f>
        <v/>
      </c>
      <c r="E11" s="23">
        <f>'ROP Model'!J9</f>
        <v/>
      </c>
      <c r="F11" s="32" t="inlineStr">
        <is>
          <t>Against measured segment loss</t>
        </is>
      </c>
    </row>
    <row r="12">
      <c r="A12" s="5" t="inlineStr">
        <is>
          <t>Margin recovered /month</t>
        </is>
      </c>
      <c r="B12" s="23">
        <f>'ROP Model'!K6</f>
        <v/>
      </c>
      <c r="C12" s="23">
        <f>'ROP Model'!K7</f>
        <v/>
      </c>
      <c r="D12" s="23">
        <f>'ROP Model'!K8</f>
        <v/>
      </c>
      <c r="E12" s="23">
        <f>'ROP Model'!K9</f>
        <v/>
      </c>
      <c r="F12" s="32" t="inlineStr"/>
    </row>
    <row r="13">
      <c r="A13" s="5" t="inlineStr">
        <is>
          <t>Incremental holding /month</t>
        </is>
      </c>
      <c r="B13" s="23">
        <f>'ROP Model'!L6</f>
        <v/>
      </c>
      <c r="C13" s="23">
        <f>'ROP Model'!L7</f>
        <v/>
      </c>
      <c r="D13" s="23">
        <f>'ROP Model'!L8</f>
        <v/>
      </c>
      <c r="E13" s="23">
        <f>'ROP Model'!L9</f>
        <v/>
      </c>
      <c r="F13" s="32" t="inlineStr">
        <is>
          <t>Cost of carrying the buffer</t>
        </is>
      </c>
    </row>
    <row r="14">
      <c r="A14" s="20" t="inlineStr">
        <is>
          <t>NET margin impact /month</t>
        </is>
      </c>
      <c r="B14" s="24">
        <f>'ROP Model'!M6</f>
        <v/>
      </c>
      <c r="C14" s="24">
        <f>'ROP Model'!M7</f>
        <v/>
      </c>
      <c r="D14" s="24">
        <f>'ROP Model'!M8</f>
        <v/>
      </c>
      <c r="E14" s="24">
        <f>'ROP Model'!M9</f>
        <v/>
      </c>
      <c r="F14" s="32" t="inlineStr">
        <is>
          <t>The decision number</t>
        </is>
      </c>
    </row>
    <row r="16">
      <c r="A16" s="4" t="inlineStr">
        <is>
          <t>Phase 2 — same policy rolled out network-wide</t>
        </is>
      </c>
    </row>
    <row r="17" ht="30" customHeight="1">
      <c r="A17" s="19" t="inlineStr">
        <is>
          <t>Scope</t>
        </is>
      </c>
      <c r="B17" s="19" t="inlineStr">
        <is>
          <t>Stores</t>
        </is>
      </c>
      <c r="C17" s="19" t="inlineStr">
        <is>
          <t>Revenue recovered /mo</t>
        </is>
      </c>
      <c r="D17" s="19" t="inlineStr">
        <is>
          <t>Margin recovered /mo</t>
        </is>
      </c>
      <c r="E17" s="19" t="inlineStr">
        <is>
          <t>Holding cost /mo</t>
        </is>
      </c>
      <c r="F17" s="19" t="inlineStr">
        <is>
          <t>Net margin /mo</t>
        </is>
      </c>
    </row>
    <row r="18">
      <c r="A18" s="5" t="inlineStr">
        <is>
          <t>Targeted: dairy @ stores 3, 7, 11</t>
        </is>
      </c>
      <c r="B18" s="33" t="n">
        <v>3</v>
      </c>
      <c r="C18" s="23">
        <f>'ROP Model'!J8</f>
        <v/>
      </c>
      <c r="D18" s="23">
        <f>'ROP Model'!K8</f>
        <v/>
      </c>
      <c r="E18" s="23">
        <f>'ROP Model'!L8</f>
        <v/>
      </c>
      <c r="F18" s="24">
        <f>'ROP Model'!M8</f>
        <v/>
      </c>
    </row>
    <row r="19">
      <c r="A19" s="5" t="inlineStr">
        <is>
          <t>Network rollout, all categories (ex stores 14 &amp; 16)</t>
        </is>
      </c>
      <c r="B19" s="33" t="n">
        <v>16</v>
      </c>
      <c r="C19" s="23" t="n">
        <v>1029715.03</v>
      </c>
      <c r="D19" s="23" t="n">
        <v>367049.49</v>
      </c>
      <c r="E19" s="23" t="n">
        <v>27813.15</v>
      </c>
      <c r="F19" s="24" t="n">
        <v>339236.34</v>
      </c>
    </row>
    <row r="20">
      <c r="A20" s="5" t="inlineStr">
        <is>
          <t>Stores 14 &amp; 16 — routed to operations, NOT reorder policy</t>
        </is>
      </c>
      <c r="B20" s="33" t="n">
        <v>2</v>
      </c>
      <c r="C20" s="34" t="inlineStr">
        <is>
          <t>n/a</t>
        </is>
      </c>
      <c r="D20" s="34" t="inlineStr">
        <is>
          <t>n/a</t>
        </is>
      </c>
      <c r="E20" s="34" t="inlineStr">
        <is>
          <t>n/a</t>
        </is>
      </c>
      <c r="F20" s="34" t="inlineStr">
        <is>
          <t>n/a</t>
        </is>
      </c>
    </row>
    <row r="22">
      <c r="A22" s="31" t="inlineStr">
        <is>
          <t>Stores 14 and 16 are excluded on purpose. Their stock disappears without being sold, so raising their reorder point would fund the leak rather than close it. Sizing a recovery for them here would be the single easiest way to make this model wrong.</t>
        </is>
      </c>
    </row>
    <row r="23"/>
    <row r="24"/>
  </sheetData>
  <mergeCells count="3">
    <mergeCell ref="A16:F16"/>
    <mergeCell ref="A22:F2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0" customWidth="1" min="5" max="5"/>
    <col width="46" customWidth="1" min="6" max="6"/>
  </cols>
  <sheetData>
    <row r="1" ht="26" customHeight="1">
      <c r="A1" s="1" t="inlineStr">
        <is>
          <t>WHERE THE MONEY GOES  —  three buckets, three different owners</t>
        </is>
      </c>
    </row>
    <row r="3">
      <c r="A3" s="16" t="inlineStr">
        <is>
          <t>Total estimated revenue lost to stockouts: ₹1,640,840 per month across 18 stores.</t>
        </is>
      </c>
    </row>
    <row r="5" ht="30" customHeight="1">
      <c r="A5" s="19" t="inlineStr">
        <is>
          <t>Bucket</t>
        </is>
      </c>
      <c r="B5" s="19" t="inlineStr">
        <is>
          <t>Revenue lost /mo</t>
        </is>
      </c>
      <c r="C5" s="19" t="inlineStr">
        <is>
          <t>Margin lost /mo</t>
        </is>
      </c>
      <c r="D5" s="19" t="inlineStr">
        <is>
          <t>% of total</t>
        </is>
      </c>
      <c r="E5" s="19" t="inlineStr">
        <is>
          <t>Cells</t>
        </is>
      </c>
      <c r="F5" s="19" t="inlineStr">
        <is>
          <t>Fix — and who owns it</t>
        </is>
      </c>
    </row>
    <row r="6" ht="32" customHeight="1">
      <c r="A6" s="5" t="inlineStr">
        <is>
          <t>C — Systemic: no safety stock</t>
        </is>
      </c>
      <c r="B6" s="23" t="n">
        <v>1018344</v>
      </c>
      <c r="C6" s="23" t="n">
        <v>363116</v>
      </c>
      <c r="D6" s="21" t="n">
        <v>0.621</v>
      </c>
      <c r="E6" s="33" t="n">
        <v>93</v>
      </c>
      <c r="F6" s="35" t="inlineStr">
        <is>
          <t>Supply planning, phase 2: the network carries zero safety stock everywhere. Roll out after the pilot.</t>
        </is>
      </c>
    </row>
    <row r="7" ht="32" customHeight="1">
      <c r="A7" s="5" t="inlineStr">
        <is>
          <t>A — Operational shrinkage</t>
        </is>
      </c>
      <c r="B7" s="23" t="n">
        <v>557019</v>
      </c>
      <c r="C7" s="23" t="n">
        <v>199320</v>
      </c>
      <c r="D7" s="21" t="n">
        <v>0.339</v>
      </c>
      <c r="E7" s="33" t="n">
        <v>12</v>
      </c>
      <c r="F7" s="35" t="inlineStr">
        <is>
          <t>Operations audit at stores 14 &amp; 16. Stock is leaving without being sold; a reorder-point change cannot touch this.</t>
        </is>
      </c>
    </row>
    <row r="8" ht="32" customHeight="1">
      <c r="A8" s="5" t="inlineStr">
        <is>
          <t>B — Lead-time mismatch (dairy)</t>
        </is>
      </c>
      <c r="B8" s="23" t="n">
        <v>65477</v>
      </c>
      <c r="C8" s="23" t="n">
        <v>23222</v>
      </c>
      <c r="D8" s="21" t="n">
        <v>0.04</v>
      </c>
      <c r="E8" s="33" t="n">
        <v>3</v>
      </c>
      <c r="F8" s="35" t="inlineStr">
        <is>
          <t>Supply planning: re-size the dairy reorder point at stores 3, 7, 11 to the lead time actually delivered. THIS MEMO.</t>
        </is>
      </c>
    </row>
    <row r="9">
      <c r="A9" s="20" t="inlineStr">
        <is>
          <t>TOTAL</t>
        </is>
      </c>
      <c r="B9" s="24">
        <f>SUM(B6:B8)</f>
        <v/>
      </c>
      <c r="C9" s="24">
        <f>SUM(C6:C8)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6" customHeight="1">
      <c r="A1" s="1" t="inlineStr">
        <is>
          <t>LOST REVENUE BY STORE  —  naive SQL estimate vs censored-demand estimate</t>
        </is>
      </c>
    </row>
    <row r="3">
      <c r="A3" s="31" t="inlineStr">
        <is>
          <t>The naive trailing-7-day method recovers only ~39% of true lost revenue: stockouts happen on above-average days, so a mean-based baseline cannot price the spike. The corrected column is the planning number; the naive one is the defensible floor.</t>
        </is>
      </c>
    </row>
    <row r="4"/>
    <row r="6" ht="30" customHeight="1">
      <c r="A6" s="19" t="inlineStr">
        <is>
          <t>Store</t>
        </is>
      </c>
      <c r="B6" s="19" t="inlineStr">
        <is>
          <t>Stockout days</t>
        </is>
      </c>
      <c r="C6" s="19" t="inlineStr">
        <is>
          <t>Naive estimate (90d)</t>
        </is>
      </c>
      <c r="D6" s="19" t="inlineStr">
        <is>
          <t>Corrected estimate (90d)</t>
        </is>
      </c>
      <c r="E6" s="19" t="inlineStr">
        <is>
          <t>Corrected margin (90d)</t>
        </is>
      </c>
    </row>
    <row r="7">
      <c r="A7" s="5" t="n">
        <v>14</v>
      </c>
      <c r="B7" s="5" t="n">
        <v>2674</v>
      </c>
      <c r="C7" s="23" t="n">
        <v>359795.92</v>
      </c>
      <c r="D7" s="23" t="n">
        <v>848614.09</v>
      </c>
      <c r="E7" s="23" t="n">
        <v>304006.12</v>
      </c>
    </row>
    <row r="8">
      <c r="A8" s="5" t="n">
        <v>16</v>
      </c>
      <c r="B8" s="5" t="n">
        <v>2492</v>
      </c>
      <c r="C8" s="23" t="n">
        <v>387199.94</v>
      </c>
      <c r="D8" s="23" t="n">
        <v>822441.71</v>
      </c>
      <c r="E8" s="23" t="n">
        <v>293954.91</v>
      </c>
    </row>
    <row r="9">
      <c r="A9" s="5" t="n">
        <v>7</v>
      </c>
      <c r="B9" s="5" t="n">
        <v>829</v>
      </c>
      <c r="C9" s="23" t="n">
        <v>130727.8</v>
      </c>
      <c r="D9" s="23" t="n">
        <v>270441.59</v>
      </c>
      <c r="E9" s="23" t="n">
        <v>96531.95</v>
      </c>
    </row>
    <row r="10">
      <c r="A10" s="5" t="n">
        <v>3</v>
      </c>
      <c r="B10" s="5" t="n">
        <v>889</v>
      </c>
      <c r="C10" s="23" t="n">
        <v>112377.55</v>
      </c>
      <c r="D10" s="23" t="n">
        <v>248666.45</v>
      </c>
      <c r="E10" s="23" t="n">
        <v>88097.19</v>
      </c>
    </row>
    <row r="11">
      <c r="A11" s="5" t="n">
        <v>11</v>
      </c>
      <c r="B11" s="5" t="n">
        <v>844</v>
      </c>
      <c r="C11" s="23" t="n">
        <v>89072.27</v>
      </c>
      <c r="D11" s="23" t="n">
        <v>232225.1</v>
      </c>
      <c r="E11" s="23" t="n">
        <v>83222.41</v>
      </c>
    </row>
    <row r="12">
      <c r="A12" s="5" t="n">
        <v>8</v>
      </c>
      <c r="B12" s="5" t="n">
        <v>607</v>
      </c>
      <c r="C12" s="23" t="n">
        <v>76450.46000000001</v>
      </c>
      <c r="D12" s="23" t="n">
        <v>218759.31</v>
      </c>
      <c r="E12" s="23" t="n">
        <v>77640.25</v>
      </c>
    </row>
    <row r="13">
      <c r="A13" s="5" t="n">
        <v>5</v>
      </c>
      <c r="B13" s="5" t="n">
        <v>603</v>
      </c>
      <c r="C13" s="23" t="n">
        <v>77218.64</v>
      </c>
      <c r="D13" s="23" t="n">
        <v>208236.24</v>
      </c>
      <c r="E13" s="23" t="n">
        <v>74943.64</v>
      </c>
    </row>
    <row r="14">
      <c r="A14" s="5" t="n">
        <v>1</v>
      </c>
      <c r="B14" s="5" t="n">
        <v>629</v>
      </c>
      <c r="C14" s="23" t="n">
        <v>64920.41</v>
      </c>
      <c r="D14" s="23" t="n">
        <v>206070.59</v>
      </c>
      <c r="E14" s="23" t="n">
        <v>72999.62</v>
      </c>
    </row>
    <row r="15">
      <c r="A15" s="5" t="n">
        <v>10</v>
      </c>
      <c r="B15" s="5" t="n">
        <v>568</v>
      </c>
      <c r="C15" s="23" t="n">
        <v>67929.11</v>
      </c>
      <c r="D15" s="23" t="n">
        <v>196628.87</v>
      </c>
      <c r="E15" s="23" t="n">
        <v>69779.00999999999</v>
      </c>
    </row>
    <row r="16">
      <c r="A16" s="5" t="n">
        <v>13</v>
      </c>
      <c r="B16" s="5" t="n">
        <v>553</v>
      </c>
      <c r="C16" s="23" t="n">
        <v>65941.89999999999</v>
      </c>
      <c r="D16" s="23" t="n">
        <v>196606.38</v>
      </c>
      <c r="E16" s="23" t="n">
        <v>70106.49000000001</v>
      </c>
    </row>
    <row r="17">
      <c r="A17" s="5" t="n">
        <v>6</v>
      </c>
      <c r="B17" s="5" t="n">
        <v>607</v>
      </c>
      <c r="C17" s="23" t="n">
        <v>58510.93</v>
      </c>
      <c r="D17" s="23" t="n">
        <v>193038.87</v>
      </c>
      <c r="E17" s="23" t="n">
        <v>68246.28</v>
      </c>
    </row>
    <row r="18">
      <c r="A18" s="5" t="n">
        <v>17</v>
      </c>
      <c r="B18" s="5" t="n">
        <v>577</v>
      </c>
      <c r="C18" s="23" t="n">
        <v>61171.51</v>
      </c>
      <c r="D18" s="23" t="n">
        <v>191157.85</v>
      </c>
      <c r="E18" s="23" t="n">
        <v>67489.74000000001</v>
      </c>
    </row>
    <row r="19">
      <c r="A19" s="5" t="n">
        <v>12</v>
      </c>
      <c r="B19" s="5" t="n">
        <v>644</v>
      </c>
      <c r="C19" s="23" t="n">
        <v>66174.85000000001</v>
      </c>
      <c r="D19" s="23" t="n">
        <v>189087.06</v>
      </c>
      <c r="E19" s="23" t="n">
        <v>66661.92</v>
      </c>
    </row>
    <row r="20">
      <c r="A20" s="5" t="n">
        <v>9</v>
      </c>
      <c r="B20" s="5" t="n">
        <v>646</v>
      </c>
      <c r="C20" s="23" t="n">
        <v>59302.76</v>
      </c>
      <c r="D20" s="23" t="n">
        <v>188414.84</v>
      </c>
      <c r="E20" s="23" t="n">
        <v>67626.85000000001</v>
      </c>
    </row>
    <row r="21">
      <c r="A21" s="5" t="n">
        <v>18</v>
      </c>
      <c r="B21" s="5" t="n">
        <v>656</v>
      </c>
      <c r="C21" s="23" t="n">
        <v>60510.46</v>
      </c>
      <c r="D21" s="23" t="n">
        <v>187293.66</v>
      </c>
      <c r="E21" s="23" t="n">
        <v>67536.36</v>
      </c>
    </row>
    <row r="22">
      <c r="A22" s="5" t="n">
        <v>4</v>
      </c>
      <c r="B22" s="5" t="n">
        <v>649</v>
      </c>
      <c r="C22" s="23" t="n">
        <v>53046.7</v>
      </c>
      <c r="D22" s="23" t="n">
        <v>184129.45</v>
      </c>
      <c r="E22" s="23" t="n">
        <v>66132.75</v>
      </c>
    </row>
    <row r="23">
      <c r="A23" s="5" t="n">
        <v>2</v>
      </c>
      <c r="B23" s="5" t="n">
        <v>666</v>
      </c>
      <c r="C23" s="23" t="n">
        <v>42974.18</v>
      </c>
      <c r="D23" s="23" t="n">
        <v>173097.69</v>
      </c>
      <c r="E23" s="23" t="n">
        <v>61949.68</v>
      </c>
    </row>
    <row r="24">
      <c r="A24" s="5" t="n">
        <v>15</v>
      </c>
      <c r="B24" s="5" t="n">
        <v>664</v>
      </c>
      <c r="C24" s="23" t="n">
        <v>41509.46</v>
      </c>
      <c r="D24" s="23" t="n">
        <v>167606.74</v>
      </c>
      <c r="E24" s="23" t="n">
        <v>60048.23</v>
      </c>
    </row>
  </sheetData>
  <mergeCells count="2">
    <mergeCell ref="A3:H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18" customWidth="1" min="5" max="5"/>
    <col width="12" customWidth="1" min="6" max="6"/>
  </cols>
  <sheetData>
    <row r="1" ht="26" customHeight="1">
      <c r="A1" s="1" t="inlineStr">
        <is>
          <t>STOCKOUT RATE BY STORE x CATEGORY (Q1)</t>
        </is>
      </c>
    </row>
    <row r="3">
      <c r="A3" s="7" t="inlineStr">
        <is>
          <t>Heat map: stores 14 and 16 are hot across EVERY category (an ops problem); stores 3, 7 and 11 are hot in dairy only (a supply problem).</t>
        </is>
      </c>
    </row>
    <row r="5" ht="30" customHeight="1">
      <c r="A5" s="19" t="inlineStr">
        <is>
          <t>Store</t>
        </is>
      </c>
      <c r="B5" s="19" t="inlineStr">
        <is>
          <t>beverages</t>
        </is>
      </c>
      <c r="C5" s="19" t="inlineStr">
        <is>
          <t>dairy</t>
        </is>
      </c>
      <c r="D5" s="19" t="inlineStr">
        <is>
          <t>household</t>
        </is>
      </c>
      <c r="E5" s="19" t="inlineStr">
        <is>
          <t>personal_care</t>
        </is>
      </c>
      <c r="F5" s="19" t="inlineStr">
        <is>
          <t>produce</t>
        </is>
      </c>
      <c r="G5" s="19" t="inlineStr">
        <is>
          <t>snacks</t>
        </is>
      </c>
    </row>
    <row r="6">
      <c r="A6" s="36" t="n">
        <v>1</v>
      </c>
      <c r="B6" s="37" t="n">
        <v>0.047</v>
      </c>
      <c r="C6" s="37" t="n">
        <v>0.04480000000000001</v>
      </c>
      <c r="D6" s="37" t="n">
        <v>0.0293</v>
      </c>
      <c r="E6" s="37" t="n">
        <v>0.0367</v>
      </c>
      <c r="F6" s="37" t="n">
        <v>0.0363</v>
      </c>
      <c r="G6" s="37" t="n">
        <v>0.0389</v>
      </c>
    </row>
    <row r="7">
      <c r="A7" s="36" t="n">
        <v>2</v>
      </c>
      <c r="B7" s="37" t="n">
        <v>0.04</v>
      </c>
      <c r="C7" s="37" t="n">
        <v>0.0474</v>
      </c>
      <c r="D7" s="37" t="n">
        <v>0.0381</v>
      </c>
      <c r="E7" s="37" t="n">
        <v>0.0348</v>
      </c>
      <c r="F7" s="37" t="n">
        <v>0.0463</v>
      </c>
      <c r="G7" s="37" t="n">
        <v>0.04</v>
      </c>
    </row>
    <row r="8">
      <c r="A8" s="36" t="n">
        <v>3</v>
      </c>
      <c r="B8" s="37" t="n">
        <v>0.0396</v>
      </c>
      <c r="C8" s="37" t="n">
        <v>0.1289</v>
      </c>
      <c r="D8" s="37" t="n">
        <v>0.0415</v>
      </c>
      <c r="E8" s="37" t="n">
        <v>0.0359</v>
      </c>
      <c r="F8" s="37" t="n">
        <v>0.04190000000000001</v>
      </c>
      <c r="G8" s="37" t="n">
        <v>0.0415</v>
      </c>
    </row>
    <row r="9">
      <c r="A9" s="36" t="n">
        <v>4</v>
      </c>
      <c r="B9" s="37" t="n">
        <v>0.04219999999999999</v>
      </c>
      <c r="C9" s="37" t="n">
        <v>0.04559999999999999</v>
      </c>
      <c r="D9" s="37" t="n">
        <v>0.0281</v>
      </c>
      <c r="E9" s="37" t="n">
        <v>0.0378</v>
      </c>
      <c r="F9" s="37" t="n">
        <v>0.043</v>
      </c>
      <c r="G9" s="37" t="n">
        <v>0.0437</v>
      </c>
    </row>
    <row r="10">
      <c r="A10" s="36" t="n">
        <v>5</v>
      </c>
      <c r="B10" s="37" t="n">
        <v>0.0378</v>
      </c>
      <c r="C10" s="37" t="n">
        <v>0.0404</v>
      </c>
      <c r="D10" s="37" t="n">
        <v>0.0322</v>
      </c>
      <c r="E10" s="37" t="n">
        <v>0.0374</v>
      </c>
      <c r="F10" s="37" t="n">
        <v>0.0356</v>
      </c>
      <c r="G10" s="37" t="n">
        <v>0.04</v>
      </c>
    </row>
    <row r="11">
      <c r="A11" s="36" t="n">
        <v>6</v>
      </c>
      <c r="B11" s="37" t="n">
        <v>0.0415</v>
      </c>
      <c r="C11" s="37" t="n">
        <v>0.0489</v>
      </c>
      <c r="D11" s="37" t="n">
        <v>0.0337</v>
      </c>
      <c r="E11" s="37" t="n">
        <v>0.0285</v>
      </c>
      <c r="F11" s="37" t="n">
        <v>0.0359</v>
      </c>
      <c r="G11" s="37" t="n">
        <v>0.0363</v>
      </c>
    </row>
    <row r="12">
      <c r="A12" s="36" t="n">
        <v>7</v>
      </c>
      <c r="B12" s="37" t="n">
        <v>0.0393</v>
      </c>
      <c r="C12" s="37" t="n">
        <v>0.1344</v>
      </c>
      <c r="D12" s="37" t="n">
        <v>0.0296</v>
      </c>
      <c r="E12" s="37" t="n">
        <v>0.0285</v>
      </c>
      <c r="F12" s="37" t="n">
        <v>0.0319</v>
      </c>
      <c r="G12" s="37" t="n">
        <v>0.0433</v>
      </c>
    </row>
    <row r="13">
      <c r="A13" s="36" t="n">
        <v>8</v>
      </c>
      <c r="B13" s="37" t="n">
        <v>0.04219999999999999</v>
      </c>
      <c r="C13" s="37" t="n">
        <v>0.0415</v>
      </c>
      <c r="D13" s="37" t="n">
        <v>0.0293</v>
      </c>
      <c r="E13" s="37" t="n">
        <v>0.0348</v>
      </c>
      <c r="F13" s="37" t="n">
        <v>0.0341</v>
      </c>
      <c r="G13" s="37" t="n">
        <v>0.043</v>
      </c>
    </row>
    <row r="14">
      <c r="A14" s="36" t="n">
        <v>9</v>
      </c>
      <c r="B14" s="37" t="n">
        <v>0.0478</v>
      </c>
      <c r="C14" s="37" t="n">
        <v>0.04559999999999999</v>
      </c>
      <c r="D14" s="37" t="n">
        <v>0.0319</v>
      </c>
      <c r="E14" s="37" t="n">
        <v>0.0278</v>
      </c>
      <c r="F14" s="37" t="n">
        <v>0.04219999999999999</v>
      </c>
      <c r="G14" s="37" t="n">
        <v>0.0441</v>
      </c>
    </row>
    <row r="15">
      <c r="A15" s="36" t="n">
        <v>10</v>
      </c>
      <c r="B15" s="37" t="n">
        <v>0.0404</v>
      </c>
      <c r="C15" s="37" t="n">
        <v>0.0381</v>
      </c>
      <c r="D15" s="37" t="n">
        <v>0.0285</v>
      </c>
      <c r="E15" s="37" t="n">
        <v>0.0263</v>
      </c>
      <c r="F15" s="37" t="n">
        <v>0.0396</v>
      </c>
      <c r="G15" s="37" t="n">
        <v>0.0374</v>
      </c>
    </row>
    <row r="16">
      <c r="A16" s="36" t="n">
        <v>11</v>
      </c>
      <c r="B16" s="37" t="n">
        <v>0.0452</v>
      </c>
      <c r="C16" s="37" t="n">
        <v>0.1252</v>
      </c>
      <c r="D16" s="37" t="n">
        <v>0.0359</v>
      </c>
      <c r="E16" s="37" t="n">
        <v>0.0259</v>
      </c>
      <c r="F16" s="37" t="n">
        <v>0.0381</v>
      </c>
      <c r="G16" s="37" t="n">
        <v>0.04219999999999999</v>
      </c>
    </row>
    <row r="17">
      <c r="A17" s="36" t="n">
        <v>12</v>
      </c>
      <c r="B17" s="37" t="n">
        <v>0.0415</v>
      </c>
      <c r="C17" s="37" t="n">
        <v>0.0493</v>
      </c>
      <c r="D17" s="37" t="n">
        <v>0.0341</v>
      </c>
      <c r="E17" s="37" t="n">
        <v>0.0274</v>
      </c>
      <c r="F17" s="37" t="n">
        <v>0.0481</v>
      </c>
      <c r="G17" s="37" t="n">
        <v>0.0381</v>
      </c>
    </row>
    <row r="18">
      <c r="A18" s="36" t="n">
        <v>13</v>
      </c>
      <c r="B18" s="37" t="n">
        <v>0.04219999999999999</v>
      </c>
      <c r="C18" s="37" t="n">
        <v>0.0393</v>
      </c>
      <c r="D18" s="37" t="n">
        <v>0.0322</v>
      </c>
      <c r="E18" s="37" t="n">
        <v>0.027</v>
      </c>
      <c r="F18" s="37" t="n">
        <v>0.0304</v>
      </c>
      <c r="G18" s="37" t="n">
        <v>0.0337</v>
      </c>
    </row>
    <row r="19">
      <c r="A19" s="36" t="n">
        <v>14</v>
      </c>
      <c r="B19" s="37" t="n">
        <v>0.1626</v>
      </c>
      <c r="C19" s="37" t="n">
        <v>0.2104</v>
      </c>
      <c r="D19" s="37" t="n">
        <v>0.143</v>
      </c>
      <c r="E19" s="37" t="n">
        <v>0.1496</v>
      </c>
      <c r="F19" s="37" t="n">
        <v>0.1767</v>
      </c>
      <c r="G19" s="37" t="n">
        <v>0.1481</v>
      </c>
    </row>
    <row r="20">
      <c r="A20" s="36" t="n">
        <v>15</v>
      </c>
      <c r="B20" s="37" t="n">
        <v>0.0356</v>
      </c>
      <c r="C20" s="37" t="n">
        <v>0.0537</v>
      </c>
      <c r="D20" s="37" t="n">
        <v>0.0352</v>
      </c>
      <c r="E20" s="37" t="n">
        <v>0.0352</v>
      </c>
      <c r="F20" s="37" t="n">
        <v>0.0437</v>
      </c>
      <c r="G20" s="37" t="n">
        <v>0.0426</v>
      </c>
    </row>
    <row r="21">
      <c r="A21" s="36" t="n">
        <v>16</v>
      </c>
      <c r="B21" s="37" t="n">
        <v>0.1433</v>
      </c>
      <c r="C21" s="37" t="n">
        <v>0.1989</v>
      </c>
      <c r="D21" s="37" t="n">
        <v>0.1344</v>
      </c>
      <c r="E21" s="37" t="n">
        <v>0.1452</v>
      </c>
      <c r="F21" s="37" t="n">
        <v>0.1593</v>
      </c>
      <c r="G21" s="37" t="n">
        <v>0.1419</v>
      </c>
    </row>
    <row r="22">
      <c r="A22" s="36" t="n">
        <v>17</v>
      </c>
      <c r="B22" s="37" t="n">
        <v>0.0359</v>
      </c>
      <c r="C22" s="37" t="n">
        <v>0.04480000000000001</v>
      </c>
      <c r="D22" s="37" t="n">
        <v>0.027</v>
      </c>
      <c r="E22" s="37" t="n">
        <v>0.0278</v>
      </c>
      <c r="F22" s="37" t="n">
        <v>0.0359</v>
      </c>
      <c r="G22" s="37" t="n">
        <v>0.04219999999999999</v>
      </c>
    </row>
    <row r="23">
      <c r="A23" s="36" t="n">
        <v>18</v>
      </c>
      <c r="B23" s="37" t="n">
        <v>0.0426</v>
      </c>
      <c r="C23" s="37" t="n">
        <v>0.0437</v>
      </c>
      <c r="D23" s="37" t="n">
        <v>0.0359</v>
      </c>
      <c r="E23" s="37" t="n">
        <v>0.0407</v>
      </c>
      <c r="F23" s="37" t="n">
        <v>0.04219999999999999</v>
      </c>
      <c r="G23" s="37" t="n">
        <v>0.0378</v>
      </c>
    </row>
    <row r="26" ht="30" customHeight="1">
      <c r="A26" s="19" t="inlineStr">
        <is>
          <t>store_id</t>
        </is>
      </c>
      <c r="B26" s="19" t="inlineStr">
        <is>
          <t>category</t>
        </is>
      </c>
      <c r="C26" s="19" t="inlineStr">
        <is>
          <t>n_store_days</t>
        </is>
      </c>
      <c r="D26" s="19" t="inlineStr">
        <is>
          <t>n_stockout_days</t>
        </is>
      </c>
      <c r="E26" s="19" t="inlineStr">
        <is>
          <t>stockout_rate_pct</t>
        </is>
      </c>
      <c r="F26" s="19" t="inlineStr">
        <is>
          <t>stockout_rank</t>
        </is>
      </c>
    </row>
    <row r="27">
      <c r="A27" s="5" t="n">
        <v>14</v>
      </c>
      <c r="B27" s="5" t="inlineStr">
        <is>
          <t>dairy</t>
        </is>
      </c>
      <c r="C27" s="5" t="n">
        <v>2700</v>
      </c>
      <c r="D27" s="5" t="n">
        <v>568</v>
      </c>
      <c r="E27" s="38" t="n">
        <v>21.04</v>
      </c>
      <c r="F27" s="5" t="n">
        <v>1</v>
      </c>
    </row>
    <row r="28">
      <c r="A28" s="5" t="n">
        <v>16</v>
      </c>
      <c r="B28" s="5" t="inlineStr">
        <is>
          <t>dairy</t>
        </is>
      </c>
      <c r="C28" s="5" t="n">
        <v>2700</v>
      </c>
      <c r="D28" s="5" t="n">
        <v>537</v>
      </c>
      <c r="E28" s="38" t="n">
        <v>19.89</v>
      </c>
      <c r="F28" s="5" t="n">
        <v>2</v>
      </c>
    </row>
    <row r="29">
      <c r="A29" s="5" t="n">
        <v>14</v>
      </c>
      <c r="B29" s="5" t="inlineStr">
        <is>
          <t>produce</t>
        </is>
      </c>
      <c r="C29" s="5" t="n">
        <v>2700</v>
      </c>
      <c r="D29" s="5" t="n">
        <v>477</v>
      </c>
      <c r="E29" s="38" t="n">
        <v>17.67</v>
      </c>
      <c r="F29" s="5" t="n">
        <v>3</v>
      </c>
    </row>
    <row r="30">
      <c r="A30" s="5" t="n">
        <v>14</v>
      </c>
      <c r="B30" s="5" t="inlineStr">
        <is>
          <t>beverages</t>
        </is>
      </c>
      <c r="C30" s="5" t="n">
        <v>2700</v>
      </c>
      <c r="D30" s="5" t="n">
        <v>439</v>
      </c>
      <c r="E30" s="38" t="n">
        <v>16.26</v>
      </c>
      <c r="F30" s="5" t="n">
        <v>4</v>
      </c>
    </row>
    <row r="31">
      <c r="A31" s="5" t="n">
        <v>16</v>
      </c>
      <c r="B31" s="5" t="inlineStr">
        <is>
          <t>produce</t>
        </is>
      </c>
      <c r="C31" s="5" t="n">
        <v>2700</v>
      </c>
      <c r="D31" s="5" t="n">
        <v>430</v>
      </c>
      <c r="E31" s="38" t="n">
        <v>15.93</v>
      </c>
      <c r="F31" s="5" t="n">
        <v>5</v>
      </c>
    </row>
    <row r="32">
      <c r="A32" s="5" t="n">
        <v>14</v>
      </c>
      <c r="B32" s="5" t="inlineStr">
        <is>
          <t>personal_care</t>
        </is>
      </c>
      <c r="C32" s="5" t="n">
        <v>2700</v>
      </c>
      <c r="D32" s="5" t="n">
        <v>404</v>
      </c>
      <c r="E32" s="38" t="n">
        <v>14.96</v>
      </c>
      <c r="F32" s="5" t="n">
        <v>6</v>
      </c>
    </row>
    <row r="33">
      <c r="A33" s="5" t="n">
        <v>14</v>
      </c>
      <c r="B33" s="5" t="inlineStr">
        <is>
          <t>snacks</t>
        </is>
      </c>
      <c r="C33" s="5" t="n">
        <v>2700</v>
      </c>
      <c r="D33" s="5" t="n">
        <v>400</v>
      </c>
      <c r="E33" s="38" t="n">
        <v>14.81</v>
      </c>
      <c r="F33" s="5" t="n">
        <v>7</v>
      </c>
    </row>
    <row r="34">
      <c r="A34" s="5" t="n">
        <v>16</v>
      </c>
      <c r="B34" s="5" t="inlineStr">
        <is>
          <t>personal_care</t>
        </is>
      </c>
      <c r="C34" s="5" t="n">
        <v>2700</v>
      </c>
      <c r="D34" s="5" t="n">
        <v>392</v>
      </c>
      <c r="E34" s="38" t="n">
        <v>14.52</v>
      </c>
      <c r="F34" s="5" t="n">
        <v>8</v>
      </c>
    </row>
    <row r="35">
      <c r="A35" s="5" t="n">
        <v>16</v>
      </c>
      <c r="B35" s="5" t="inlineStr">
        <is>
          <t>beverages</t>
        </is>
      </c>
      <c r="C35" s="5" t="n">
        <v>2700</v>
      </c>
      <c r="D35" s="5" t="n">
        <v>387</v>
      </c>
      <c r="E35" s="38" t="n">
        <v>14.33</v>
      </c>
      <c r="F35" s="5" t="n">
        <v>9</v>
      </c>
    </row>
    <row r="36">
      <c r="A36" s="5" t="n">
        <v>14</v>
      </c>
      <c r="B36" s="5" t="inlineStr">
        <is>
          <t>household</t>
        </is>
      </c>
      <c r="C36" s="5" t="n">
        <v>2700</v>
      </c>
      <c r="D36" s="5" t="n">
        <v>386</v>
      </c>
      <c r="E36" s="38" t="n">
        <v>14.3</v>
      </c>
      <c r="F36" s="5" t="n">
        <v>10</v>
      </c>
    </row>
    <row r="37">
      <c r="A37" s="5" t="n">
        <v>16</v>
      </c>
      <c r="B37" s="5" t="inlineStr">
        <is>
          <t>snacks</t>
        </is>
      </c>
      <c r="C37" s="5" t="n">
        <v>2700</v>
      </c>
      <c r="D37" s="5" t="n">
        <v>383</v>
      </c>
      <c r="E37" s="38" t="n">
        <v>14.19</v>
      </c>
      <c r="F37" s="5" t="n">
        <v>11</v>
      </c>
    </row>
    <row r="38">
      <c r="A38" s="5" t="n">
        <v>7</v>
      </c>
      <c r="B38" s="5" t="inlineStr">
        <is>
          <t>dairy</t>
        </is>
      </c>
      <c r="C38" s="5" t="n">
        <v>2700</v>
      </c>
      <c r="D38" s="5" t="n">
        <v>363</v>
      </c>
      <c r="E38" s="38" t="n">
        <v>13.44</v>
      </c>
      <c r="F38" s="5" t="n">
        <v>12</v>
      </c>
    </row>
    <row r="39">
      <c r="A39" s="5" t="n">
        <v>16</v>
      </c>
      <c r="B39" s="5" t="inlineStr">
        <is>
          <t>household</t>
        </is>
      </c>
      <c r="C39" s="5" t="n">
        <v>2700</v>
      </c>
      <c r="D39" s="5" t="n">
        <v>363</v>
      </c>
      <c r="E39" s="38" t="n">
        <v>13.44</v>
      </c>
      <c r="F39" s="5" t="n">
        <v>12</v>
      </c>
    </row>
    <row r="40">
      <c r="A40" s="5" t="n">
        <v>3</v>
      </c>
      <c r="B40" s="5" t="inlineStr">
        <is>
          <t>dairy</t>
        </is>
      </c>
      <c r="C40" s="5" t="n">
        <v>2700</v>
      </c>
      <c r="D40" s="5" t="n">
        <v>348</v>
      </c>
      <c r="E40" s="38" t="n">
        <v>12.89</v>
      </c>
      <c r="F40" s="5" t="n">
        <v>14</v>
      </c>
    </row>
    <row r="41">
      <c r="A41" s="5" t="n">
        <v>11</v>
      </c>
      <c r="B41" s="5" t="inlineStr">
        <is>
          <t>dairy</t>
        </is>
      </c>
      <c r="C41" s="5" t="n">
        <v>2700</v>
      </c>
      <c r="D41" s="5" t="n">
        <v>338</v>
      </c>
      <c r="E41" s="38" t="n">
        <v>12.52</v>
      </c>
      <c r="F41" s="5" t="n">
        <v>15</v>
      </c>
    </row>
    <row r="42">
      <c r="A42" s="5" t="n">
        <v>15</v>
      </c>
      <c r="B42" s="5" t="inlineStr">
        <is>
          <t>dairy</t>
        </is>
      </c>
      <c r="C42" s="5" t="n">
        <v>2700</v>
      </c>
      <c r="D42" s="5" t="n">
        <v>145</v>
      </c>
      <c r="E42" s="38" t="n">
        <v>5.37</v>
      </c>
      <c r="F42" s="5" t="n">
        <v>16</v>
      </c>
    </row>
    <row r="43">
      <c r="A43" s="5" t="n">
        <v>12</v>
      </c>
      <c r="B43" s="5" t="inlineStr">
        <is>
          <t>dairy</t>
        </is>
      </c>
      <c r="C43" s="5" t="n">
        <v>2700</v>
      </c>
      <c r="D43" s="5" t="n">
        <v>133</v>
      </c>
      <c r="E43" s="38" t="n">
        <v>4.93</v>
      </c>
      <c r="F43" s="5" t="n">
        <v>17</v>
      </c>
    </row>
    <row r="44">
      <c r="A44" s="5" t="n">
        <v>6</v>
      </c>
      <c r="B44" s="5" t="inlineStr">
        <is>
          <t>dairy</t>
        </is>
      </c>
      <c r="C44" s="5" t="n">
        <v>2700</v>
      </c>
      <c r="D44" s="5" t="n">
        <v>132</v>
      </c>
      <c r="E44" s="38" t="n">
        <v>4.89</v>
      </c>
      <c r="F44" s="5" t="n">
        <v>18</v>
      </c>
    </row>
    <row r="45">
      <c r="A45" s="5" t="n">
        <v>12</v>
      </c>
      <c r="B45" s="5" t="inlineStr">
        <is>
          <t>produce</t>
        </is>
      </c>
      <c r="C45" s="5" t="n">
        <v>2700</v>
      </c>
      <c r="D45" s="5" t="n">
        <v>130</v>
      </c>
      <c r="E45" s="38" t="n">
        <v>4.81</v>
      </c>
      <c r="F45" s="5" t="n">
        <v>19</v>
      </c>
    </row>
    <row r="46">
      <c r="A46" s="5" t="n">
        <v>9</v>
      </c>
      <c r="B46" s="5" t="inlineStr">
        <is>
          <t>beverages</t>
        </is>
      </c>
      <c r="C46" s="5" t="n">
        <v>2700</v>
      </c>
      <c r="D46" s="5" t="n">
        <v>129</v>
      </c>
      <c r="E46" s="38" t="n">
        <v>4.78</v>
      </c>
      <c r="F46" s="5" t="n">
        <v>20</v>
      </c>
    </row>
    <row r="47">
      <c r="A47" s="5" t="n">
        <v>2</v>
      </c>
      <c r="B47" s="5" t="inlineStr">
        <is>
          <t>dairy</t>
        </is>
      </c>
      <c r="C47" s="5" t="n">
        <v>2700</v>
      </c>
      <c r="D47" s="5" t="n">
        <v>128</v>
      </c>
      <c r="E47" s="38" t="n">
        <v>4.74</v>
      </c>
      <c r="F47" s="5" t="n">
        <v>21</v>
      </c>
    </row>
    <row r="48">
      <c r="A48" s="5" t="n">
        <v>1</v>
      </c>
      <c r="B48" s="5" t="inlineStr">
        <is>
          <t>beverages</t>
        </is>
      </c>
      <c r="C48" s="5" t="n">
        <v>2700</v>
      </c>
      <c r="D48" s="5" t="n">
        <v>127</v>
      </c>
      <c r="E48" s="38" t="n">
        <v>4.7</v>
      </c>
      <c r="F48" s="5" t="n">
        <v>22</v>
      </c>
    </row>
    <row r="49">
      <c r="A49" s="5" t="n">
        <v>2</v>
      </c>
      <c r="B49" s="5" t="inlineStr">
        <is>
          <t>produce</t>
        </is>
      </c>
      <c r="C49" s="5" t="n">
        <v>2700</v>
      </c>
      <c r="D49" s="5" t="n">
        <v>125</v>
      </c>
      <c r="E49" s="38" t="n">
        <v>4.63</v>
      </c>
      <c r="F49" s="5" t="n">
        <v>23</v>
      </c>
    </row>
    <row r="50">
      <c r="A50" s="5" t="n">
        <v>4</v>
      </c>
      <c r="B50" s="5" t="inlineStr">
        <is>
          <t>dairy</t>
        </is>
      </c>
      <c r="C50" s="5" t="n">
        <v>2700</v>
      </c>
      <c r="D50" s="5" t="n">
        <v>123</v>
      </c>
      <c r="E50" s="38" t="n">
        <v>4.56</v>
      </c>
      <c r="F50" s="5" t="n">
        <v>24</v>
      </c>
    </row>
    <row r="51">
      <c r="A51" s="5" t="n">
        <v>9</v>
      </c>
      <c r="B51" s="5" t="inlineStr">
        <is>
          <t>dairy</t>
        </is>
      </c>
      <c r="C51" s="5" t="n">
        <v>2700</v>
      </c>
      <c r="D51" s="5" t="n">
        <v>123</v>
      </c>
      <c r="E51" s="38" t="n">
        <v>4.56</v>
      </c>
      <c r="F51" s="5" t="n">
        <v>24</v>
      </c>
    </row>
    <row r="52">
      <c r="A52" s="5" t="n">
        <v>11</v>
      </c>
      <c r="B52" s="5" t="inlineStr">
        <is>
          <t>beverages</t>
        </is>
      </c>
      <c r="C52" s="5" t="n">
        <v>2700</v>
      </c>
      <c r="D52" s="5" t="n">
        <v>122</v>
      </c>
      <c r="E52" s="38" t="n">
        <v>4.52</v>
      </c>
      <c r="F52" s="5" t="n">
        <v>26</v>
      </c>
    </row>
    <row r="53">
      <c r="A53" s="5" t="n">
        <v>1</v>
      </c>
      <c r="B53" s="5" t="inlineStr">
        <is>
          <t>dairy</t>
        </is>
      </c>
      <c r="C53" s="5" t="n">
        <v>2700</v>
      </c>
      <c r="D53" s="5" t="n">
        <v>121</v>
      </c>
      <c r="E53" s="38" t="n">
        <v>4.48</v>
      </c>
      <c r="F53" s="5" t="n">
        <v>27</v>
      </c>
    </row>
    <row r="54">
      <c r="A54" s="5" t="n">
        <v>17</v>
      </c>
      <c r="B54" s="5" t="inlineStr">
        <is>
          <t>dairy</t>
        </is>
      </c>
      <c r="C54" s="5" t="n">
        <v>2700</v>
      </c>
      <c r="D54" s="5" t="n">
        <v>121</v>
      </c>
      <c r="E54" s="38" t="n">
        <v>4.48</v>
      </c>
      <c r="F54" s="5" t="n">
        <v>27</v>
      </c>
    </row>
    <row r="55">
      <c r="A55" s="5" t="n">
        <v>9</v>
      </c>
      <c r="B55" s="5" t="inlineStr">
        <is>
          <t>snacks</t>
        </is>
      </c>
      <c r="C55" s="5" t="n">
        <v>2700</v>
      </c>
      <c r="D55" s="5" t="n">
        <v>119</v>
      </c>
      <c r="E55" s="38" t="n">
        <v>4.41</v>
      </c>
      <c r="F55" s="5" t="n">
        <v>29</v>
      </c>
    </row>
    <row r="56">
      <c r="A56" s="5" t="n">
        <v>4</v>
      </c>
      <c r="B56" s="5" t="inlineStr">
        <is>
          <t>snacks</t>
        </is>
      </c>
      <c r="C56" s="5" t="n">
        <v>2700</v>
      </c>
      <c r="D56" s="5" t="n">
        <v>118</v>
      </c>
      <c r="E56" s="38" t="n">
        <v>4.37</v>
      </c>
      <c r="F56" s="5" t="n">
        <v>30</v>
      </c>
    </row>
    <row r="57">
      <c r="A57" s="5" t="n">
        <v>15</v>
      </c>
      <c r="B57" s="5" t="inlineStr">
        <is>
          <t>produce</t>
        </is>
      </c>
      <c r="C57" s="5" t="n">
        <v>2700</v>
      </c>
      <c r="D57" s="5" t="n">
        <v>118</v>
      </c>
      <c r="E57" s="38" t="n">
        <v>4.37</v>
      </c>
      <c r="F57" s="5" t="n">
        <v>30</v>
      </c>
    </row>
    <row r="58">
      <c r="A58" s="5" t="n">
        <v>18</v>
      </c>
      <c r="B58" s="5" t="inlineStr">
        <is>
          <t>dairy</t>
        </is>
      </c>
      <c r="C58" s="5" t="n">
        <v>2700</v>
      </c>
      <c r="D58" s="5" t="n">
        <v>118</v>
      </c>
      <c r="E58" s="38" t="n">
        <v>4.37</v>
      </c>
      <c r="F58" s="5" t="n">
        <v>30</v>
      </c>
    </row>
    <row r="59">
      <c r="A59" s="5" t="n">
        <v>7</v>
      </c>
      <c r="B59" s="5" t="inlineStr">
        <is>
          <t>snacks</t>
        </is>
      </c>
      <c r="C59" s="5" t="n">
        <v>2700</v>
      </c>
      <c r="D59" s="5" t="n">
        <v>117</v>
      </c>
      <c r="E59" s="38" t="n">
        <v>4.33</v>
      </c>
      <c r="F59" s="5" t="n">
        <v>33</v>
      </c>
    </row>
    <row r="60">
      <c r="A60" s="5" t="n">
        <v>4</v>
      </c>
      <c r="B60" s="5" t="inlineStr">
        <is>
          <t>produce</t>
        </is>
      </c>
      <c r="C60" s="5" t="n">
        <v>2700</v>
      </c>
      <c r="D60" s="5" t="n">
        <v>116</v>
      </c>
      <c r="E60" s="38" t="n">
        <v>4.3</v>
      </c>
      <c r="F60" s="5" t="n">
        <v>34</v>
      </c>
    </row>
    <row r="61">
      <c r="A61" s="5" t="n">
        <v>8</v>
      </c>
      <c r="B61" s="5" t="inlineStr">
        <is>
          <t>snacks</t>
        </is>
      </c>
      <c r="C61" s="5" t="n">
        <v>2700</v>
      </c>
      <c r="D61" s="5" t="n">
        <v>116</v>
      </c>
      <c r="E61" s="38" t="n">
        <v>4.3</v>
      </c>
      <c r="F61" s="5" t="n">
        <v>34</v>
      </c>
    </row>
    <row r="62">
      <c r="A62" s="5" t="n">
        <v>15</v>
      </c>
      <c r="B62" s="5" t="inlineStr">
        <is>
          <t>snacks</t>
        </is>
      </c>
      <c r="C62" s="5" t="n">
        <v>2700</v>
      </c>
      <c r="D62" s="5" t="n">
        <v>115</v>
      </c>
      <c r="E62" s="38" t="n">
        <v>4.26</v>
      </c>
      <c r="F62" s="5" t="n">
        <v>36</v>
      </c>
    </row>
    <row r="63">
      <c r="A63" s="5" t="n">
        <v>18</v>
      </c>
      <c r="B63" s="5" t="inlineStr">
        <is>
          <t>beverages</t>
        </is>
      </c>
      <c r="C63" s="5" t="n">
        <v>2700</v>
      </c>
      <c r="D63" s="5" t="n">
        <v>115</v>
      </c>
      <c r="E63" s="38" t="n">
        <v>4.26</v>
      </c>
      <c r="F63" s="5" t="n">
        <v>36</v>
      </c>
    </row>
    <row r="64">
      <c r="A64" s="5" t="n">
        <v>4</v>
      </c>
      <c r="B64" s="5" t="inlineStr">
        <is>
          <t>beverages</t>
        </is>
      </c>
      <c r="C64" s="5" t="n">
        <v>2700</v>
      </c>
      <c r="D64" s="5" t="n">
        <v>114</v>
      </c>
      <c r="E64" s="38" t="n">
        <v>4.22</v>
      </c>
      <c r="F64" s="5" t="n">
        <v>38</v>
      </c>
    </row>
    <row r="65">
      <c r="A65" s="5" t="n">
        <v>8</v>
      </c>
      <c r="B65" s="5" t="inlineStr">
        <is>
          <t>beverages</t>
        </is>
      </c>
      <c r="C65" s="5" t="n">
        <v>2700</v>
      </c>
      <c r="D65" s="5" t="n">
        <v>114</v>
      </c>
      <c r="E65" s="38" t="n">
        <v>4.22</v>
      </c>
      <c r="F65" s="5" t="n">
        <v>38</v>
      </c>
    </row>
    <row r="66">
      <c r="A66" s="5" t="n">
        <v>9</v>
      </c>
      <c r="B66" s="5" t="inlineStr">
        <is>
          <t>produce</t>
        </is>
      </c>
      <c r="C66" s="5" t="n">
        <v>2700</v>
      </c>
      <c r="D66" s="5" t="n">
        <v>114</v>
      </c>
      <c r="E66" s="38" t="n">
        <v>4.22</v>
      </c>
      <c r="F66" s="5" t="n">
        <v>38</v>
      </c>
    </row>
    <row r="67">
      <c r="A67" s="5" t="n">
        <v>11</v>
      </c>
      <c r="B67" s="5" t="inlineStr">
        <is>
          <t>snacks</t>
        </is>
      </c>
      <c r="C67" s="5" t="n">
        <v>2700</v>
      </c>
      <c r="D67" s="5" t="n">
        <v>114</v>
      </c>
      <c r="E67" s="38" t="n">
        <v>4.22</v>
      </c>
      <c r="F67" s="5" t="n">
        <v>38</v>
      </c>
    </row>
    <row r="68">
      <c r="A68" s="5" t="n">
        <v>13</v>
      </c>
      <c r="B68" s="5" t="inlineStr">
        <is>
          <t>beverages</t>
        </is>
      </c>
      <c r="C68" s="5" t="n">
        <v>2700</v>
      </c>
      <c r="D68" s="5" t="n">
        <v>114</v>
      </c>
      <c r="E68" s="38" t="n">
        <v>4.22</v>
      </c>
      <c r="F68" s="5" t="n">
        <v>38</v>
      </c>
    </row>
    <row r="69">
      <c r="A69" s="5" t="n">
        <v>17</v>
      </c>
      <c r="B69" s="5" t="inlineStr">
        <is>
          <t>snacks</t>
        </is>
      </c>
      <c r="C69" s="5" t="n">
        <v>2700</v>
      </c>
      <c r="D69" s="5" t="n">
        <v>114</v>
      </c>
      <c r="E69" s="38" t="n">
        <v>4.22</v>
      </c>
      <c r="F69" s="5" t="n">
        <v>38</v>
      </c>
    </row>
    <row r="70">
      <c r="A70" s="5" t="n">
        <v>18</v>
      </c>
      <c r="B70" s="5" t="inlineStr">
        <is>
          <t>produce</t>
        </is>
      </c>
      <c r="C70" s="5" t="n">
        <v>2700</v>
      </c>
      <c r="D70" s="5" t="n">
        <v>114</v>
      </c>
      <c r="E70" s="38" t="n">
        <v>4.22</v>
      </c>
      <c r="F70" s="5" t="n">
        <v>38</v>
      </c>
    </row>
    <row r="71">
      <c r="A71" s="5" t="n">
        <v>3</v>
      </c>
      <c r="B71" s="5" t="inlineStr">
        <is>
          <t>produce</t>
        </is>
      </c>
      <c r="C71" s="5" t="n">
        <v>2700</v>
      </c>
      <c r="D71" s="5" t="n">
        <v>113</v>
      </c>
      <c r="E71" s="38" t="n">
        <v>4.19</v>
      </c>
      <c r="F71" s="5" t="n">
        <v>45</v>
      </c>
    </row>
    <row r="72">
      <c r="A72" s="5" t="n">
        <v>3</v>
      </c>
      <c r="B72" s="5" t="inlineStr">
        <is>
          <t>household</t>
        </is>
      </c>
      <c r="C72" s="5" t="n">
        <v>2700</v>
      </c>
      <c r="D72" s="5" t="n">
        <v>112</v>
      </c>
      <c r="E72" s="38" t="n">
        <v>4.15</v>
      </c>
      <c r="F72" s="5" t="n">
        <v>46</v>
      </c>
    </row>
    <row r="73">
      <c r="A73" s="5" t="n">
        <v>3</v>
      </c>
      <c r="B73" s="5" t="inlineStr">
        <is>
          <t>snacks</t>
        </is>
      </c>
      <c r="C73" s="5" t="n">
        <v>2700</v>
      </c>
      <c r="D73" s="5" t="n">
        <v>112</v>
      </c>
      <c r="E73" s="38" t="n">
        <v>4.15</v>
      </c>
      <c r="F73" s="5" t="n">
        <v>46</v>
      </c>
    </row>
    <row r="74">
      <c r="A74" s="5" t="n">
        <v>6</v>
      </c>
      <c r="B74" s="5" t="inlineStr">
        <is>
          <t>beverages</t>
        </is>
      </c>
      <c r="C74" s="5" t="n">
        <v>2700</v>
      </c>
      <c r="D74" s="5" t="n">
        <v>112</v>
      </c>
      <c r="E74" s="38" t="n">
        <v>4.15</v>
      </c>
      <c r="F74" s="5" t="n">
        <v>46</v>
      </c>
    </row>
    <row r="75">
      <c r="A75" s="5" t="n">
        <v>8</v>
      </c>
      <c r="B75" s="5" t="inlineStr">
        <is>
          <t>dairy</t>
        </is>
      </c>
      <c r="C75" s="5" t="n">
        <v>2700</v>
      </c>
      <c r="D75" s="5" t="n">
        <v>112</v>
      </c>
      <c r="E75" s="38" t="n">
        <v>4.15</v>
      </c>
      <c r="F75" s="5" t="n">
        <v>46</v>
      </c>
    </row>
    <row r="76">
      <c r="A76" s="5" t="n">
        <v>12</v>
      </c>
      <c r="B76" s="5" t="inlineStr">
        <is>
          <t>beverages</t>
        </is>
      </c>
      <c r="C76" s="5" t="n">
        <v>2700</v>
      </c>
      <c r="D76" s="5" t="n">
        <v>112</v>
      </c>
      <c r="E76" s="38" t="n">
        <v>4.15</v>
      </c>
      <c r="F76" s="5" t="n">
        <v>46</v>
      </c>
    </row>
    <row r="77">
      <c r="A77" s="5" t="n">
        <v>18</v>
      </c>
      <c r="B77" s="5" t="inlineStr">
        <is>
          <t>personal_care</t>
        </is>
      </c>
      <c r="C77" s="5" t="n">
        <v>2700</v>
      </c>
      <c r="D77" s="5" t="n">
        <v>110</v>
      </c>
      <c r="E77" s="38" t="n">
        <v>4.07</v>
      </c>
      <c r="F77" s="5" t="n">
        <v>51</v>
      </c>
    </row>
    <row r="78">
      <c r="A78" s="5" t="n">
        <v>5</v>
      </c>
      <c r="B78" s="5" t="inlineStr">
        <is>
          <t>dairy</t>
        </is>
      </c>
      <c r="C78" s="5" t="n">
        <v>2700</v>
      </c>
      <c r="D78" s="5" t="n">
        <v>109</v>
      </c>
      <c r="E78" s="38" t="n">
        <v>4.04</v>
      </c>
      <c r="F78" s="5" t="n">
        <v>52</v>
      </c>
    </row>
    <row r="79">
      <c r="A79" s="5" t="n">
        <v>10</v>
      </c>
      <c r="B79" s="5" t="inlineStr">
        <is>
          <t>beverages</t>
        </is>
      </c>
      <c r="C79" s="5" t="n">
        <v>2700</v>
      </c>
      <c r="D79" s="5" t="n">
        <v>109</v>
      </c>
      <c r="E79" s="38" t="n">
        <v>4.04</v>
      </c>
      <c r="F79" s="5" t="n">
        <v>52</v>
      </c>
    </row>
    <row r="80">
      <c r="A80" s="5" t="n">
        <v>2</v>
      </c>
      <c r="B80" s="5" t="inlineStr">
        <is>
          <t>beverages</t>
        </is>
      </c>
      <c r="C80" s="5" t="n">
        <v>2700</v>
      </c>
      <c r="D80" s="5" t="n">
        <v>108</v>
      </c>
      <c r="E80" s="38" t="n">
        <v>4</v>
      </c>
      <c r="F80" s="5" t="n">
        <v>54</v>
      </c>
    </row>
    <row r="81">
      <c r="A81" s="5" t="n">
        <v>2</v>
      </c>
      <c r="B81" s="5" t="inlineStr">
        <is>
          <t>snacks</t>
        </is>
      </c>
      <c r="C81" s="5" t="n">
        <v>2700</v>
      </c>
      <c r="D81" s="5" t="n">
        <v>108</v>
      </c>
      <c r="E81" s="38" t="n">
        <v>4</v>
      </c>
      <c r="F81" s="5" t="n">
        <v>54</v>
      </c>
    </row>
    <row r="82">
      <c r="A82" s="5" t="n">
        <v>5</v>
      </c>
      <c r="B82" s="5" t="inlineStr">
        <is>
          <t>snacks</t>
        </is>
      </c>
      <c r="C82" s="5" t="n">
        <v>2700</v>
      </c>
      <c r="D82" s="5" t="n">
        <v>108</v>
      </c>
      <c r="E82" s="38" t="n">
        <v>4</v>
      </c>
      <c r="F82" s="5" t="n">
        <v>54</v>
      </c>
    </row>
    <row r="83">
      <c r="A83" s="5" t="n">
        <v>3</v>
      </c>
      <c r="B83" s="5" t="inlineStr">
        <is>
          <t>beverages</t>
        </is>
      </c>
      <c r="C83" s="5" t="n">
        <v>2700</v>
      </c>
      <c r="D83" s="5" t="n">
        <v>107</v>
      </c>
      <c r="E83" s="38" t="n">
        <v>3.96</v>
      </c>
      <c r="F83" s="5" t="n">
        <v>57</v>
      </c>
    </row>
    <row r="84">
      <c r="A84" s="5" t="n">
        <v>10</v>
      </c>
      <c r="B84" s="5" t="inlineStr">
        <is>
          <t>produce</t>
        </is>
      </c>
      <c r="C84" s="5" t="n">
        <v>2700</v>
      </c>
      <c r="D84" s="5" t="n">
        <v>107</v>
      </c>
      <c r="E84" s="38" t="n">
        <v>3.96</v>
      </c>
      <c r="F84" s="5" t="n">
        <v>57</v>
      </c>
    </row>
    <row r="85">
      <c r="A85" s="5" t="n">
        <v>7</v>
      </c>
      <c r="B85" s="5" t="inlineStr">
        <is>
          <t>beverages</t>
        </is>
      </c>
      <c r="C85" s="5" t="n">
        <v>2700</v>
      </c>
      <c r="D85" s="5" t="n">
        <v>106</v>
      </c>
      <c r="E85" s="38" t="n">
        <v>3.93</v>
      </c>
      <c r="F85" s="5" t="n">
        <v>59</v>
      </c>
    </row>
    <row r="86">
      <c r="A86" s="5" t="n">
        <v>13</v>
      </c>
      <c r="B86" s="5" t="inlineStr">
        <is>
          <t>dairy</t>
        </is>
      </c>
      <c r="C86" s="5" t="n">
        <v>2700</v>
      </c>
      <c r="D86" s="5" t="n">
        <v>106</v>
      </c>
      <c r="E86" s="38" t="n">
        <v>3.93</v>
      </c>
      <c r="F86" s="5" t="n">
        <v>59</v>
      </c>
    </row>
    <row r="87">
      <c r="A87" s="5" t="n">
        <v>1</v>
      </c>
      <c r="B87" s="5" t="inlineStr">
        <is>
          <t>snacks</t>
        </is>
      </c>
      <c r="C87" s="5" t="n">
        <v>2700</v>
      </c>
      <c r="D87" s="5" t="n">
        <v>105</v>
      </c>
      <c r="E87" s="38" t="n">
        <v>3.89</v>
      </c>
      <c r="F87" s="5" t="n">
        <v>61</v>
      </c>
    </row>
    <row r="88">
      <c r="A88" s="5" t="n">
        <v>2</v>
      </c>
      <c r="B88" s="5" t="inlineStr">
        <is>
          <t>household</t>
        </is>
      </c>
      <c r="C88" s="5" t="n">
        <v>2700</v>
      </c>
      <c r="D88" s="5" t="n">
        <v>103</v>
      </c>
      <c r="E88" s="38" t="n">
        <v>3.81</v>
      </c>
      <c r="F88" s="5" t="n">
        <v>62</v>
      </c>
    </row>
    <row r="89">
      <c r="A89" s="5" t="n">
        <v>10</v>
      </c>
      <c r="B89" s="5" t="inlineStr">
        <is>
          <t>dairy</t>
        </is>
      </c>
      <c r="C89" s="5" t="n">
        <v>2700</v>
      </c>
      <c r="D89" s="5" t="n">
        <v>103</v>
      </c>
      <c r="E89" s="38" t="n">
        <v>3.81</v>
      </c>
      <c r="F89" s="5" t="n">
        <v>62</v>
      </c>
    </row>
    <row r="90">
      <c r="A90" s="5" t="n">
        <v>11</v>
      </c>
      <c r="B90" s="5" t="inlineStr">
        <is>
          <t>produce</t>
        </is>
      </c>
      <c r="C90" s="5" t="n">
        <v>2700</v>
      </c>
      <c r="D90" s="5" t="n">
        <v>103</v>
      </c>
      <c r="E90" s="38" t="n">
        <v>3.81</v>
      </c>
      <c r="F90" s="5" t="n">
        <v>62</v>
      </c>
    </row>
    <row r="91">
      <c r="A91" s="5" t="n">
        <v>12</v>
      </c>
      <c r="B91" s="5" t="inlineStr">
        <is>
          <t>snacks</t>
        </is>
      </c>
      <c r="C91" s="5" t="n">
        <v>2700</v>
      </c>
      <c r="D91" s="5" t="n">
        <v>103</v>
      </c>
      <c r="E91" s="38" t="n">
        <v>3.81</v>
      </c>
      <c r="F91" s="5" t="n">
        <v>62</v>
      </c>
    </row>
    <row r="92">
      <c r="A92" s="5" t="n">
        <v>4</v>
      </c>
      <c r="B92" s="5" t="inlineStr">
        <is>
          <t>personal_care</t>
        </is>
      </c>
      <c r="C92" s="5" t="n">
        <v>2700</v>
      </c>
      <c r="D92" s="5" t="n">
        <v>102</v>
      </c>
      <c r="E92" s="38" t="n">
        <v>3.78</v>
      </c>
      <c r="F92" s="5" t="n">
        <v>66</v>
      </c>
    </row>
    <row r="93">
      <c r="A93" s="5" t="n">
        <v>5</v>
      </c>
      <c r="B93" s="5" t="inlineStr">
        <is>
          <t>beverages</t>
        </is>
      </c>
      <c r="C93" s="5" t="n">
        <v>2700</v>
      </c>
      <c r="D93" s="5" t="n">
        <v>102</v>
      </c>
      <c r="E93" s="38" t="n">
        <v>3.78</v>
      </c>
      <c r="F93" s="5" t="n">
        <v>66</v>
      </c>
    </row>
    <row r="94">
      <c r="A94" s="5" t="n">
        <v>18</v>
      </c>
      <c r="B94" s="5" t="inlineStr">
        <is>
          <t>snacks</t>
        </is>
      </c>
      <c r="C94" s="5" t="n">
        <v>2700</v>
      </c>
      <c r="D94" s="5" t="n">
        <v>102</v>
      </c>
      <c r="E94" s="38" t="n">
        <v>3.78</v>
      </c>
      <c r="F94" s="5" t="n">
        <v>66</v>
      </c>
    </row>
    <row r="95">
      <c r="A95" s="5" t="n">
        <v>5</v>
      </c>
      <c r="B95" s="5" t="inlineStr">
        <is>
          <t>personal_care</t>
        </is>
      </c>
      <c r="C95" s="5" t="n">
        <v>2700</v>
      </c>
      <c r="D95" s="5" t="n">
        <v>101</v>
      </c>
      <c r="E95" s="38" t="n">
        <v>3.74</v>
      </c>
      <c r="F95" s="5" t="n">
        <v>69</v>
      </c>
    </row>
    <row r="96">
      <c r="A96" s="5" t="n">
        <v>10</v>
      </c>
      <c r="B96" s="5" t="inlineStr">
        <is>
          <t>snacks</t>
        </is>
      </c>
      <c r="C96" s="5" t="n">
        <v>2700</v>
      </c>
      <c r="D96" s="5" t="n">
        <v>101</v>
      </c>
      <c r="E96" s="38" t="n">
        <v>3.74</v>
      </c>
      <c r="F96" s="5" t="n">
        <v>69</v>
      </c>
    </row>
    <row r="97">
      <c r="A97" s="5" t="n">
        <v>1</v>
      </c>
      <c r="B97" s="5" t="inlineStr">
        <is>
          <t>personal_care</t>
        </is>
      </c>
      <c r="C97" s="5" t="n">
        <v>2700</v>
      </c>
      <c r="D97" s="5" t="n">
        <v>99</v>
      </c>
      <c r="E97" s="38" t="n">
        <v>3.67</v>
      </c>
      <c r="F97" s="5" t="n">
        <v>71</v>
      </c>
    </row>
    <row r="98">
      <c r="A98" s="5" t="n">
        <v>1</v>
      </c>
      <c r="B98" s="5" t="inlineStr">
        <is>
          <t>produce</t>
        </is>
      </c>
      <c r="C98" s="5" t="n">
        <v>2700</v>
      </c>
      <c r="D98" s="5" t="n">
        <v>98</v>
      </c>
      <c r="E98" s="38" t="n">
        <v>3.63</v>
      </c>
      <c r="F98" s="5" t="n">
        <v>72</v>
      </c>
    </row>
    <row r="99">
      <c r="A99" s="5" t="n">
        <v>6</v>
      </c>
      <c r="B99" s="5" t="inlineStr">
        <is>
          <t>snacks</t>
        </is>
      </c>
      <c r="C99" s="5" t="n">
        <v>2700</v>
      </c>
      <c r="D99" s="5" t="n">
        <v>98</v>
      </c>
      <c r="E99" s="38" t="n">
        <v>3.63</v>
      </c>
      <c r="F99" s="5" t="n">
        <v>72</v>
      </c>
    </row>
    <row r="100">
      <c r="A100" s="5" t="n">
        <v>3</v>
      </c>
      <c r="B100" s="5" t="inlineStr">
        <is>
          <t>personal_care</t>
        </is>
      </c>
      <c r="C100" s="5" t="n">
        <v>2700</v>
      </c>
      <c r="D100" s="5" t="n">
        <v>97</v>
      </c>
      <c r="E100" s="38" t="n">
        <v>3.59</v>
      </c>
      <c r="F100" s="5" t="n">
        <v>74</v>
      </c>
    </row>
    <row r="101">
      <c r="A101" s="5" t="n">
        <v>6</v>
      </c>
      <c r="B101" s="5" t="inlineStr">
        <is>
          <t>produce</t>
        </is>
      </c>
      <c r="C101" s="5" t="n">
        <v>2700</v>
      </c>
      <c r="D101" s="5" t="n">
        <v>97</v>
      </c>
      <c r="E101" s="38" t="n">
        <v>3.59</v>
      </c>
      <c r="F101" s="5" t="n">
        <v>74</v>
      </c>
    </row>
    <row r="102">
      <c r="A102" s="5" t="n">
        <v>11</v>
      </c>
      <c r="B102" s="5" t="inlineStr">
        <is>
          <t>household</t>
        </is>
      </c>
      <c r="C102" s="5" t="n">
        <v>2700</v>
      </c>
      <c r="D102" s="5" t="n">
        <v>97</v>
      </c>
      <c r="E102" s="38" t="n">
        <v>3.59</v>
      </c>
      <c r="F102" s="5" t="n">
        <v>74</v>
      </c>
    </row>
    <row r="103">
      <c r="A103" s="5" t="n">
        <v>17</v>
      </c>
      <c r="B103" s="5" t="inlineStr">
        <is>
          <t>beverages</t>
        </is>
      </c>
      <c r="C103" s="5" t="n">
        <v>2700</v>
      </c>
      <c r="D103" s="5" t="n">
        <v>97</v>
      </c>
      <c r="E103" s="38" t="n">
        <v>3.59</v>
      </c>
      <c r="F103" s="5" t="n">
        <v>74</v>
      </c>
    </row>
    <row r="104">
      <c r="A104" s="5" t="n">
        <v>17</v>
      </c>
      <c r="B104" s="5" t="inlineStr">
        <is>
          <t>produce</t>
        </is>
      </c>
      <c r="C104" s="5" t="n">
        <v>2700</v>
      </c>
      <c r="D104" s="5" t="n">
        <v>97</v>
      </c>
      <c r="E104" s="38" t="n">
        <v>3.59</v>
      </c>
      <c r="F104" s="5" t="n">
        <v>74</v>
      </c>
    </row>
    <row r="105">
      <c r="A105" s="5" t="n">
        <v>18</v>
      </c>
      <c r="B105" s="5" t="inlineStr">
        <is>
          <t>household</t>
        </is>
      </c>
      <c r="C105" s="5" t="n">
        <v>2700</v>
      </c>
      <c r="D105" s="5" t="n">
        <v>97</v>
      </c>
      <c r="E105" s="38" t="n">
        <v>3.59</v>
      </c>
      <c r="F105" s="5" t="n">
        <v>74</v>
      </c>
    </row>
    <row r="106">
      <c r="A106" s="5" t="n">
        <v>5</v>
      </c>
      <c r="B106" s="5" t="inlineStr">
        <is>
          <t>produce</t>
        </is>
      </c>
      <c r="C106" s="5" t="n">
        <v>2700</v>
      </c>
      <c r="D106" s="5" t="n">
        <v>96</v>
      </c>
      <c r="E106" s="38" t="n">
        <v>3.56</v>
      </c>
      <c r="F106" s="5" t="n">
        <v>80</v>
      </c>
    </row>
    <row r="107">
      <c r="A107" s="5" t="n">
        <v>15</v>
      </c>
      <c r="B107" s="5" t="inlineStr">
        <is>
          <t>beverages</t>
        </is>
      </c>
      <c r="C107" s="5" t="n">
        <v>2700</v>
      </c>
      <c r="D107" s="5" t="n">
        <v>96</v>
      </c>
      <c r="E107" s="38" t="n">
        <v>3.56</v>
      </c>
      <c r="F107" s="5" t="n">
        <v>80</v>
      </c>
    </row>
    <row r="108">
      <c r="A108" s="5" t="n">
        <v>15</v>
      </c>
      <c r="B108" s="5" t="inlineStr">
        <is>
          <t>household</t>
        </is>
      </c>
      <c r="C108" s="5" t="n">
        <v>2700</v>
      </c>
      <c r="D108" s="5" t="n">
        <v>95</v>
      </c>
      <c r="E108" s="38" t="n">
        <v>3.52</v>
      </c>
      <c r="F108" s="5" t="n">
        <v>82</v>
      </c>
    </row>
    <row r="109">
      <c r="A109" s="5" t="n">
        <v>15</v>
      </c>
      <c r="B109" s="5" t="inlineStr">
        <is>
          <t>personal_care</t>
        </is>
      </c>
      <c r="C109" s="5" t="n">
        <v>2700</v>
      </c>
      <c r="D109" s="5" t="n">
        <v>95</v>
      </c>
      <c r="E109" s="38" t="n">
        <v>3.52</v>
      </c>
      <c r="F109" s="5" t="n">
        <v>82</v>
      </c>
    </row>
    <row r="110">
      <c r="A110" s="5" t="n">
        <v>2</v>
      </c>
      <c r="B110" s="5" t="inlineStr">
        <is>
          <t>personal_care</t>
        </is>
      </c>
      <c r="C110" s="5" t="n">
        <v>2700</v>
      </c>
      <c r="D110" s="5" t="n">
        <v>94</v>
      </c>
      <c r="E110" s="38" t="n">
        <v>3.48</v>
      </c>
      <c r="F110" s="5" t="n">
        <v>84</v>
      </c>
    </row>
    <row r="111">
      <c r="A111" s="5" t="n">
        <v>8</v>
      </c>
      <c r="B111" s="5" t="inlineStr">
        <is>
          <t>personal_care</t>
        </is>
      </c>
      <c r="C111" s="5" t="n">
        <v>2700</v>
      </c>
      <c r="D111" s="5" t="n">
        <v>94</v>
      </c>
      <c r="E111" s="38" t="n">
        <v>3.48</v>
      </c>
      <c r="F111" s="5" t="n">
        <v>84</v>
      </c>
    </row>
    <row r="112">
      <c r="A112" s="5" t="n">
        <v>8</v>
      </c>
      <c r="B112" s="5" t="inlineStr">
        <is>
          <t>produce</t>
        </is>
      </c>
      <c r="C112" s="5" t="n">
        <v>2700</v>
      </c>
      <c r="D112" s="5" t="n">
        <v>92</v>
      </c>
      <c r="E112" s="38" t="n">
        <v>3.41</v>
      </c>
      <c r="F112" s="5" t="n">
        <v>86</v>
      </c>
    </row>
    <row r="113">
      <c r="A113" s="5" t="n">
        <v>12</v>
      </c>
      <c r="B113" s="5" t="inlineStr">
        <is>
          <t>household</t>
        </is>
      </c>
      <c r="C113" s="5" t="n">
        <v>2700</v>
      </c>
      <c r="D113" s="5" t="n">
        <v>92</v>
      </c>
      <c r="E113" s="38" t="n">
        <v>3.41</v>
      </c>
      <c r="F113" s="5" t="n">
        <v>86</v>
      </c>
    </row>
    <row r="114">
      <c r="A114" s="5" t="n">
        <v>6</v>
      </c>
      <c r="B114" s="5" t="inlineStr">
        <is>
          <t>household</t>
        </is>
      </c>
      <c r="C114" s="5" t="n">
        <v>2700</v>
      </c>
      <c r="D114" s="5" t="n">
        <v>91</v>
      </c>
      <c r="E114" s="38" t="n">
        <v>3.37</v>
      </c>
      <c r="F114" s="5" t="n">
        <v>88</v>
      </c>
    </row>
    <row r="115">
      <c r="A115" s="5" t="n">
        <v>13</v>
      </c>
      <c r="B115" s="5" t="inlineStr">
        <is>
          <t>snacks</t>
        </is>
      </c>
      <c r="C115" s="5" t="n">
        <v>2700</v>
      </c>
      <c r="D115" s="5" t="n">
        <v>91</v>
      </c>
      <c r="E115" s="38" t="n">
        <v>3.37</v>
      </c>
      <c r="F115" s="5" t="n">
        <v>88</v>
      </c>
    </row>
    <row r="116">
      <c r="A116" s="5" t="n">
        <v>5</v>
      </c>
      <c r="B116" s="5" t="inlineStr">
        <is>
          <t>household</t>
        </is>
      </c>
      <c r="C116" s="5" t="n">
        <v>2700</v>
      </c>
      <c r="D116" s="5" t="n">
        <v>87</v>
      </c>
      <c r="E116" s="38" t="n">
        <v>3.22</v>
      </c>
      <c r="F116" s="5" t="n">
        <v>90</v>
      </c>
    </row>
    <row r="117">
      <c r="A117" s="5" t="n">
        <v>13</v>
      </c>
      <c r="B117" s="5" t="inlineStr">
        <is>
          <t>household</t>
        </is>
      </c>
      <c r="C117" s="5" t="n">
        <v>2700</v>
      </c>
      <c r="D117" s="5" t="n">
        <v>87</v>
      </c>
      <c r="E117" s="38" t="n">
        <v>3.22</v>
      </c>
      <c r="F117" s="5" t="n">
        <v>90</v>
      </c>
    </row>
    <row r="118">
      <c r="A118" s="5" t="n">
        <v>7</v>
      </c>
      <c r="B118" s="5" t="inlineStr">
        <is>
          <t>produce</t>
        </is>
      </c>
      <c r="C118" s="5" t="n">
        <v>2700</v>
      </c>
      <c r="D118" s="5" t="n">
        <v>86</v>
      </c>
      <c r="E118" s="38" t="n">
        <v>3.19</v>
      </c>
      <c r="F118" s="5" t="n">
        <v>92</v>
      </c>
    </row>
    <row r="119">
      <c r="A119" s="5" t="n">
        <v>9</v>
      </c>
      <c r="B119" s="5" t="inlineStr">
        <is>
          <t>household</t>
        </is>
      </c>
      <c r="C119" s="5" t="n">
        <v>2700</v>
      </c>
      <c r="D119" s="5" t="n">
        <v>86</v>
      </c>
      <c r="E119" s="38" t="n">
        <v>3.19</v>
      </c>
      <c r="F119" s="5" t="n">
        <v>92</v>
      </c>
    </row>
    <row r="120">
      <c r="A120" s="5" t="n">
        <v>13</v>
      </c>
      <c r="B120" s="5" t="inlineStr">
        <is>
          <t>produce</t>
        </is>
      </c>
      <c r="C120" s="5" t="n">
        <v>2700</v>
      </c>
      <c r="D120" s="5" t="n">
        <v>82</v>
      </c>
      <c r="E120" s="38" t="n">
        <v>3.04</v>
      </c>
      <c r="F120" s="5" t="n">
        <v>94</v>
      </c>
    </row>
    <row r="121">
      <c r="A121" s="5" t="n">
        <v>7</v>
      </c>
      <c r="B121" s="5" t="inlineStr">
        <is>
          <t>household</t>
        </is>
      </c>
      <c r="C121" s="5" t="n">
        <v>2700</v>
      </c>
      <c r="D121" s="5" t="n">
        <v>80</v>
      </c>
      <c r="E121" s="38" t="n">
        <v>2.96</v>
      </c>
      <c r="F121" s="5" t="n">
        <v>95</v>
      </c>
    </row>
    <row r="122">
      <c r="A122" s="5" t="n">
        <v>1</v>
      </c>
      <c r="B122" s="5" t="inlineStr">
        <is>
          <t>household</t>
        </is>
      </c>
      <c r="C122" s="5" t="n">
        <v>2700</v>
      </c>
      <c r="D122" s="5" t="n">
        <v>79</v>
      </c>
      <c r="E122" s="38" t="n">
        <v>2.93</v>
      </c>
      <c r="F122" s="5" t="n">
        <v>96</v>
      </c>
    </row>
    <row r="123">
      <c r="A123" s="5" t="n">
        <v>8</v>
      </c>
      <c r="B123" s="5" t="inlineStr">
        <is>
          <t>household</t>
        </is>
      </c>
      <c r="C123" s="5" t="n">
        <v>2700</v>
      </c>
      <c r="D123" s="5" t="n">
        <v>79</v>
      </c>
      <c r="E123" s="38" t="n">
        <v>2.93</v>
      </c>
      <c r="F123" s="5" t="n">
        <v>96</v>
      </c>
    </row>
    <row r="124">
      <c r="A124" s="5" t="n">
        <v>6</v>
      </c>
      <c r="B124" s="5" t="inlineStr">
        <is>
          <t>personal_care</t>
        </is>
      </c>
      <c r="C124" s="5" t="n">
        <v>2700</v>
      </c>
      <c r="D124" s="5" t="n">
        <v>77</v>
      </c>
      <c r="E124" s="38" t="n">
        <v>2.85</v>
      </c>
      <c r="F124" s="5" t="n">
        <v>98</v>
      </c>
    </row>
    <row r="125">
      <c r="A125" s="5" t="n">
        <v>7</v>
      </c>
      <c r="B125" s="5" t="inlineStr">
        <is>
          <t>personal_care</t>
        </is>
      </c>
      <c r="C125" s="5" t="n">
        <v>2700</v>
      </c>
      <c r="D125" s="5" t="n">
        <v>77</v>
      </c>
      <c r="E125" s="38" t="n">
        <v>2.85</v>
      </c>
      <c r="F125" s="5" t="n">
        <v>98</v>
      </c>
    </row>
    <row r="126">
      <c r="A126" s="5" t="n">
        <v>10</v>
      </c>
      <c r="B126" s="5" t="inlineStr">
        <is>
          <t>household</t>
        </is>
      </c>
      <c r="C126" s="5" t="n">
        <v>2700</v>
      </c>
      <c r="D126" s="5" t="n">
        <v>77</v>
      </c>
      <c r="E126" s="38" t="n">
        <v>2.85</v>
      </c>
      <c r="F126" s="5" t="n">
        <v>98</v>
      </c>
    </row>
    <row r="127">
      <c r="A127" s="5" t="n">
        <v>4</v>
      </c>
      <c r="B127" s="5" t="inlineStr">
        <is>
          <t>household</t>
        </is>
      </c>
      <c r="C127" s="5" t="n">
        <v>2700</v>
      </c>
      <c r="D127" s="5" t="n">
        <v>76</v>
      </c>
      <c r="E127" s="38" t="n">
        <v>2.81</v>
      </c>
      <c r="F127" s="5" t="n">
        <v>101</v>
      </c>
    </row>
    <row r="128">
      <c r="A128" s="5" t="n">
        <v>9</v>
      </c>
      <c r="B128" s="5" t="inlineStr">
        <is>
          <t>personal_care</t>
        </is>
      </c>
      <c r="C128" s="5" t="n">
        <v>2700</v>
      </c>
      <c r="D128" s="5" t="n">
        <v>75</v>
      </c>
      <c r="E128" s="38" t="n">
        <v>2.78</v>
      </c>
      <c r="F128" s="5" t="n">
        <v>102</v>
      </c>
    </row>
    <row r="129">
      <c r="A129" s="5" t="n">
        <v>17</v>
      </c>
      <c r="B129" s="5" t="inlineStr">
        <is>
          <t>personal_care</t>
        </is>
      </c>
      <c r="C129" s="5" t="n">
        <v>2700</v>
      </c>
      <c r="D129" s="5" t="n">
        <v>75</v>
      </c>
      <c r="E129" s="38" t="n">
        <v>2.78</v>
      </c>
      <c r="F129" s="5" t="n">
        <v>102</v>
      </c>
    </row>
    <row r="130">
      <c r="A130" s="5" t="n">
        <v>12</v>
      </c>
      <c r="B130" s="5" t="inlineStr">
        <is>
          <t>personal_care</t>
        </is>
      </c>
      <c r="C130" s="5" t="n">
        <v>2700</v>
      </c>
      <c r="D130" s="5" t="n">
        <v>74</v>
      </c>
      <c r="E130" s="38" t="n">
        <v>2.74</v>
      </c>
      <c r="F130" s="5" t="n">
        <v>104</v>
      </c>
    </row>
    <row r="131">
      <c r="A131" s="5" t="n">
        <v>13</v>
      </c>
      <c r="B131" s="5" t="inlineStr">
        <is>
          <t>personal_care</t>
        </is>
      </c>
      <c r="C131" s="5" t="n">
        <v>2700</v>
      </c>
      <c r="D131" s="5" t="n">
        <v>73</v>
      </c>
      <c r="E131" s="38" t="n">
        <v>2.7</v>
      </c>
      <c r="F131" s="5" t="n">
        <v>105</v>
      </c>
    </row>
    <row r="132">
      <c r="A132" s="5" t="n">
        <v>17</v>
      </c>
      <c r="B132" s="5" t="inlineStr">
        <is>
          <t>household</t>
        </is>
      </c>
      <c r="C132" s="5" t="n">
        <v>2700</v>
      </c>
      <c r="D132" s="5" t="n">
        <v>73</v>
      </c>
      <c r="E132" s="38" t="n">
        <v>2.7</v>
      </c>
      <c r="F132" s="5" t="n">
        <v>105</v>
      </c>
    </row>
    <row r="133">
      <c r="A133" s="5" t="n">
        <v>10</v>
      </c>
      <c r="B133" s="5" t="inlineStr">
        <is>
          <t>personal_care</t>
        </is>
      </c>
      <c r="C133" s="5" t="n">
        <v>2700</v>
      </c>
      <c r="D133" s="5" t="n">
        <v>71</v>
      </c>
      <c r="E133" s="38" t="n">
        <v>2.63</v>
      </c>
      <c r="F133" s="5" t="n">
        <v>107</v>
      </c>
    </row>
    <row r="134">
      <c r="A134" s="5" t="n">
        <v>11</v>
      </c>
      <c r="B134" s="5" t="inlineStr">
        <is>
          <t>personal_care</t>
        </is>
      </c>
      <c r="C134" s="5" t="n">
        <v>2700</v>
      </c>
      <c r="D134" s="5" t="n">
        <v>70</v>
      </c>
      <c r="E134" s="38" t="n">
        <v>2.59</v>
      </c>
      <c r="F134" s="5" t="n">
        <v>108</v>
      </c>
    </row>
  </sheetData>
  <mergeCells count="1">
    <mergeCell ref="A1:G1"/>
  </mergeCells>
  <conditionalFormatting sqref="B6:G23">
    <cfRule type="colorScale" priority="1">
      <colorScale>
        <cfvo type="min"/>
        <cfvo type="percentile" val="50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6" customWidth="1" min="4" max="4"/>
    <col width="18" customWidth="1" min="5" max="5"/>
    <col width="20" customWidth="1" min="6" max="6"/>
    <col width="20" customWidth="1" min="7" max="7"/>
  </cols>
  <sheetData>
    <row r="1" ht="26" customHeight="1">
      <c r="A1" s="1" t="inlineStr">
        <is>
          <t>LEAD TIME EVIDENCE (Q4 + Q11)</t>
        </is>
      </c>
    </row>
    <row r="3">
      <c r="A3" s="7" t="inlineStr">
        <is>
          <t>Q4: stockout rate climbs monotonically with lead time — the signature of a reorder point that carries no buffer.</t>
        </is>
      </c>
    </row>
    <row r="5" ht="30" customHeight="1">
      <c r="A5" s="19" t="inlineStr">
        <is>
          <t>lead_time_days</t>
        </is>
      </c>
      <c r="B5" s="19" t="inlineStr">
        <is>
          <t>stockout_rate_pct</t>
        </is>
      </c>
      <c r="C5" s="19" t="inlineStr">
        <is>
          <t>n_observations</t>
        </is>
      </c>
      <c r="D5" s="19" t="inlineStr">
        <is>
          <t>n_skus</t>
        </is>
      </c>
    </row>
    <row r="6">
      <c r="A6" s="5" t="n">
        <v>1</v>
      </c>
      <c r="B6" s="38" t="n">
        <v>3.78</v>
      </c>
      <c r="C6" s="5" t="n">
        <v>102060</v>
      </c>
      <c r="D6" s="5" t="n">
        <v>63</v>
      </c>
    </row>
    <row r="7">
      <c r="A7" s="5" t="n">
        <v>2</v>
      </c>
      <c r="B7" s="38" t="n">
        <v>5.72</v>
      </c>
      <c r="C7" s="5" t="n">
        <v>127980</v>
      </c>
      <c r="D7" s="5" t="n">
        <v>79</v>
      </c>
    </row>
    <row r="8">
      <c r="A8" s="5" t="n">
        <v>3</v>
      </c>
      <c r="B8" s="38" t="n">
        <v>7.1</v>
      </c>
      <c r="C8" s="5" t="n">
        <v>38880</v>
      </c>
      <c r="D8" s="5" t="n">
        <v>24</v>
      </c>
    </row>
    <row r="9">
      <c r="A9" s="5" t="n">
        <v>4</v>
      </c>
      <c r="B9" s="38" t="n">
        <v>8.199999999999999</v>
      </c>
      <c r="C9" s="5" t="n">
        <v>22680</v>
      </c>
      <c r="D9" s="5" t="n">
        <v>14</v>
      </c>
    </row>
    <row r="12">
      <c r="A12" s="7" t="inlineStr">
        <is>
          <t>Q11: lead time measured from stock-arrival timing, per store x category. 'Excess' is the gap versus other stores for the same category.</t>
        </is>
      </c>
    </row>
    <row r="14" ht="30" customHeight="1">
      <c r="A14" s="19" t="inlineStr">
        <is>
          <t>store_id</t>
        </is>
      </c>
      <c r="B14" s="19" t="inlineStr">
        <is>
          <t>category</t>
        </is>
      </c>
      <c r="C14" s="19" t="inlineStr">
        <is>
          <t>nominal_lt</t>
        </is>
      </c>
      <c r="D14" s="19" t="inlineStr">
        <is>
          <t>observed_lt</t>
        </is>
      </c>
      <c r="E14" s="19" t="inlineStr">
        <is>
          <t>n_cycles</t>
        </is>
      </c>
      <c r="F14" s="19" t="inlineStr">
        <is>
          <t>peer_observed_lt</t>
        </is>
      </c>
      <c r="G14" s="19" t="inlineStr">
        <is>
          <t>excess_lead_time_days</t>
        </is>
      </c>
    </row>
    <row r="15">
      <c r="A15" s="5" t="n">
        <v>1</v>
      </c>
      <c r="B15" s="5" t="inlineStr">
        <is>
          <t>beverages</t>
        </is>
      </c>
      <c r="C15" s="5" t="n">
        <v>1.597</v>
      </c>
      <c r="D15" s="5" t="n">
        <v>1.55</v>
      </c>
      <c r="E15" s="5" t="n">
        <v>380</v>
      </c>
      <c r="F15" s="5" t="n">
        <v>1.523</v>
      </c>
      <c r="G15" s="5" t="n">
        <v>0.027</v>
      </c>
    </row>
    <row r="16">
      <c r="A16" s="5" t="n">
        <v>1</v>
      </c>
      <c r="B16" s="5" t="inlineStr">
        <is>
          <t>dairy</t>
        </is>
      </c>
      <c r="C16" s="5" t="n">
        <v>3.28</v>
      </c>
      <c r="D16" s="5" t="n">
        <v>2.723</v>
      </c>
      <c r="E16" s="5" t="n">
        <v>318</v>
      </c>
      <c r="F16" s="5" t="n">
        <v>2.774</v>
      </c>
      <c r="G16" s="5" t="n">
        <v>-0.051</v>
      </c>
    </row>
    <row r="17">
      <c r="A17" s="5" t="n">
        <v>1</v>
      </c>
      <c r="B17" s="5" t="inlineStr">
        <is>
          <t>household</t>
        </is>
      </c>
      <c r="C17" s="5" t="n">
        <v>1.528</v>
      </c>
      <c r="D17" s="5" t="n">
        <v>1.425</v>
      </c>
      <c r="E17" s="5" t="n">
        <v>339</v>
      </c>
      <c r="F17" s="5" t="n">
        <v>1.452</v>
      </c>
      <c r="G17" s="5" t="n">
        <v>-0.028</v>
      </c>
    </row>
    <row r="18">
      <c r="A18" s="5" t="n">
        <v>1</v>
      </c>
      <c r="B18" s="5" t="inlineStr">
        <is>
          <t>personal_care</t>
        </is>
      </c>
      <c r="C18" s="5" t="n">
        <v>1.583</v>
      </c>
      <c r="D18" s="5" t="n">
        <v>1.438</v>
      </c>
      <c r="E18" s="5" t="n">
        <v>336</v>
      </c>
      <c r="F18" s="5" t="n">
        <v>1.469</v>
      </c>
      <c r="G18" s="5" t="n">
        <v>-0.032</v>
      </c>
    </row>
    <row r="19">
      <c r="A19" s="5" t="n">
        <v>1</v>
      </c>
      <c r="B19" s="5" t="inlineStr">
        <is>
          <t>produce</t>
        </is>
      </c>
      <c r="C19" s="5" t="n">
        <v>2.245</v>
      </c>
      <c r="D19" s="5" t="n">
        <v>2.01</v>
      </c>
      <c r="E19" s="5" t="n">
        <v>314</v>
      </c>
      <c r="F19" s="5" t="n">
        <v>2.006</v>
      </c>
      <c r="G19" s="5" t="n">
        <v>0.003</v>
      </c>
    </row>
    <row r="20">
      <c r="A20" s="5" t="n">
        <v>1</v>
      </c>
      <c r="B20" s="5" t="inlineStr">
        <is>
          <t>snacks</t>
        </is>
      </c>
      <c r="C20" s="5" t="n">
        <v>1.36</v>
      </c>
      <c r="D20" s="5" t="n">
        <v>1.321</v>
      </c>
      <c r="E20" s="5" t="n">
        <v>364</v>
      </c>
      <c r="F20" s="5" t="n">
        <v>1.324</v>
      </c>
      <c r="G20" s="5" t="n">
        <v>-0.003</v>
      </c>
    </row>
    <row r="21">
      <c r="A21" s="5" t="n">
        <v>2</v>
      </c>
      <c r="B21" s="5" t="inlineStr">
        <is>
          <t>beverages</t>
        </is>
      </c>
      <c r="C21" s="5" t="n">
        <v>1.574</v>
      </c>
      <c r="D21" s="5" t="n">
        <v>1.53</v>
      </c>
      <c r="E21" s="5" t="n">
        <v>338</v>
      </c>
      <c r="F21" s="5" t="n">
        <v>1.523</v>
      </c>
      <c r="G21" s="5" t="n">
        <v>0.007</v>
      </c>
    </row>
    <row r="22">
      <c r="A22" s="5" t="n">
        <v>2</v>
      </c>
      <c r="B22" s="5" t="inlineStr">
        <is>
          <t>dairy</t>
        </is>
      </c>
      <c r="C22" s="5" t="n">
        <v>3.268</v>
      </c>
      <c r="D22" s="5" t="n">
        <v>2.852</v>
      </c>
      <c r="E22" s="5" t="n">
        <v>310</v>
      </c>
      <c r="F22" s="5" t="n">
        <v>2.774</v>
      </c>
      <c r="G22" s="5" t="n">
        <v>0.077</v>
      </c>
    </row>
    <row r="23">
      <c r="A23" s="5" t="n">
        <v>2</v>
      </c>
      <c r="B23" s="5" t="inlineStr">
        <is>
          <t>household</t>
        </is>
      </c>
      <c r="C23" s="5" t="n">
        <v>1.53</v>
      </c>
      <c r="D23" s="5" t="n">
        <v>1.485</v>
      </c>
      <c r="E23" s="5" t="n">
        <v>328</v>
      </c>
      <c r="F23" s="5" t="n">
        <v>1.452</v>
      </c>
      <c r="G23" s="5" t="n">
        <v>0.032</v>
      </c>
    </row>
    <row r="24">
      <c r="A24" s="5" t="n">
        <v>2</v>
      </c>
      <c r="B24" s="5" t="inlineStr">
        <is>
          <t>personal_care</t>
        </is>
      </c>
      <c r="C24" s="5" t="n">
        <v>1.593</v>
      </c>
      <c r="D24" s="5" t="n">
        <v>1.518</v>
      </c>
      <c r="E24" s="5" t="n">
        <v>305</v>
      </c>
      <c r="F24" s="5" t="n">
        <v>1.469</v>
      </c>
      <c r="G24" s="5" t="n">
        <v>0.049</v>
      </c>
    </row>
    <row r="25">
      <c r="A25" s="5" t="n">
        <v>2</v>
      </c>
      <c r="B25" s="5" t="inlineStr">
        <is>
          <t>produce</t>
        </is>
      </c>
      <c r="C25" s="5" t="n">
        <v>2.247</v>
      </c>
      <c r="D25" s="5" t="n">
        <v>2.031</v>
      </c>
      <c r="E25" s="5" t="n">
        <v>295</v>
      </c>
      <c r="F25" s="5" t="n">
        <v>2.006</v>
      </c>
      <c r="G25" s="5" t="n">
        <v>0.024</v>
      </c>
    </row>
    <row r="26">
      <c r="A26" s="5" t="n">
        <v>2</v>
      </c>
      <c r="B26" s="5" t="inlineStr">
        <is>
          <t>snacks</t>
        </is>
      </c>
      <c r="C26" s="5" t="n">
        <v>1.34</v>
      </c>
      <c r="D26" s="5" t="n">
        <v>1.325</v>
      </c>
      <c r="E26" s="5" t="n">
        <v>379</v>
      </c>
      <c r="F26" s="5" t="n">
        <v>1.324</v>
      </c>
      <c r="G26" s="5" t="n">
        <v>0</v>
      </c>
    </row>
    <row r="27">
      <c r="A27" s="5" t="n">
        <v>3</v>
      </c>
      <c r="B27" s="5" t="inlineStr">
        <is>
          <t>beverages</t>
        </is>
      </c>
      <c r="C27" s="5" t="n">
        <v>1.61</v>
      </c>
      <c r="D27" s="5" t="n">
        <v>1.585</v>
      </c>
      <c r="E27" s="5" t="n">
        <v>369</v>
      </c>
      <c r="F27" s="5" t="n">
        <v>1.523</v>
      </c>
      <c r="G27" s="5" t="n">
        <v>0.062</v>
      </c>
    </row>
    <row r="28">
      <c r="A28" s="5" t="n">
        <v>3</v>
      </c>
      <c r="B28" s="5" t="inlineStr">
        <is>
          <t>dairy</t>
        </is>
      </c>
      <c r="C28" s="5" t="n">
        <v>3.27</v>
      </c>
      <c r="D28" s="5" t="n">
        <v>3.73</v>
      </c>
      <c r="E28" s="5" t="n">
        <v>289</v>
      </c>
      <c r="F28" s="5" t="n">
        <v>2.774</v>
      </c>
      <c r="G28" s="5" t="n">
        <v>0.956</v>
      </c>
    </row>
    <row r="29">
      <c r="A29" s="5" t="n">
        <v>3</v>
      </c>
      <c r="B29" s="5" t="inlineStr">
        <is>
          <t>household</t>
        </is>
      </c>
      <c r="C29" s="5" t="n">
        <v>1.547</v>
      </c>
      <c r="D29" s="5" t="n">
        <v>1.466</v>
      </c>
      <c r="E29" s="5" t="n">
        <v>322</v>
      </c>
      <c r="F29" s="5" t="n">
        <v>1.452</v>
      </c>
      <c r="G29" s="5" t="n">
        <v>0.013</v>
      </c>
    </row>
    <row r="30">
      <c r="A30" s="5" t="n">
        <v>3</v>
      </c>
      <c r="B30" s="5" t="inlineStr">
        <is>
          <t>personal_care</t>
        </is>
      </c>
      <c r="C30" s="5" t="n">
        <v>1.608</v>
      </c>
      <c r="D30" s="5" t="n">
        <v>1.508</v>
      </c>
      <c r="E30" s="5" t="n">
        <v>329</v>
      </c>
      <c r="F30" s="5" t="n">
        <v>1.469</v>
      </c>
      <c r="G30" s="5" t="n">
        <v>0.038</v>
      </c>
    </row>
    <row r="31">
      <c r="A31" s="5" t="n">
        <v>3</v>
      </c>
      <c r="B31" s="5" t="inlineStr">
        <is>
          <t>produce</t>
        </is>
      </c>
      <c r="C31" s="5" t="n">
        <v>2.221</v>
      </c>
      <c r="D31" s="5" t="n">
        <v>1.947</v>
      </c>
      <c r="E31" s="5" t="n">
        <v>321</v>
      </c>
      <c r="F31" s="5" t="n">
        <v>2.006</v>
      </c>
      <c r="G31" s="5" t="n">
        <v>-0.059</v>
      </c>
    </row>
    <row r="32">
      <c r="A32" s="5" t="n">
        <v>3</v>
      </c>
      <c r="B32" s="5" t="inlineStr">
        <is>
          <t>snacks</t>
        </is>
      </c>
      <c r="C32" s="5" t="n">
        <v>1.345</v>
      </c>
      <c r="D32" s="5" t="n">
        <v>1.277</v>
      </c>
      <c r="E32" s="5" t="n">
        <v>357</v>
      </c>
      <c r="F32" s="5" t="n">
        <v>1.324</v>
      </c>
      <c r="G32" s="5" t="n">
        <v>-0.047</v>
      </c>
    </row>
    <row r="33">
      <c r="A33" s="5" t="n">
        <v>4</v>
      </c>
      <c r="B33" s="5" t="inlineStr">
        <is>
          <t>beverages</t>
        </is>
      </c>
      <c r="C33" s="5" t="n">
        <v>1.59</v>
      </c>
      <c r="D33" s="5" t="n">
        <v>1.542</v>
      </c>
      <c r="E33" s="5" t="n">
        <v>356</v>
      </c>
      <c r="F33" s="5" t="n">
        <v>1.523</v>
      </c>
      <c r="G33" s="5" t="n">
        <v>0.019</v>
      </c>
    </row>
    <row r="34">
      <c r="A34" s="5" t="n">
        <v>4</v>
      </c>
      <c r="B34" s="5" t="inlineStr">
        <is>
          <t>dairy</t>
        </is>
      </c>
      <c r="C34" s="5" t="n">
        <v>3.254</v>
      </c>
      <c r="D34" s="5" t="n">
        <v>2.823</v>
      </c>
      <c r="E34" s="5" t="n">
        <v>311</v>
      </c>
      <c r="F34" s="5" t="n">
        <v>2.774</v>
      </c>
      <c r="G34" s="5" t="n">
        <v>0.049</v>
      </c>
    </row>
    <row r="35">
      <c r="A35" s="5" t="n">
        <v>4</v>
      </c>
      <c r="B35" s="5" t="inlineStr">
        <is>
          <t>household</t>
        </is>
      </c>
      <c r="C35" s="5" t="n">
        <v>1.503</v>
      </c>
      <c r="D35" s="5" t="n">
        <v>1.464</v>
      </c>
      <c r="E35" s="5" t="n">
        <v>330</v>
      </c>
      <c r="F35" s="5" t="n">
        <v>1.452</v>
      </c>
      <c r="G35" s="5" t="n">
        <v>0.011</v>
      </c>
    </row>
    <row r="36">
      <c r="A36" s="5" t="n">
        <v>4</v>
      </c>
      <c r="B36" s="5" t="inlineStr">
        <is>
          <t>personal_care</t>
        </is>
      </c>
      <c r="C36" s="5" t="n">
        <v>1.605</v>
      </c>
      <c r="D36" s="5" t="n">
        <v>1.561</v>
      </c>
      <c r="E36" s="5" t="n">
        <v>342</v>
      </c>
      <c r="F36" s="5" t="n">
        <v>1.469</v>
      </c>
      <c r="G36" s="5" t="n">
        <v>0.092</v>
      </c>
    </row>
    <row r="37">
      <c r="A37" s="5" t="n">
        <v>4</v>
      </c>
      <c r="B37" s="5" t="inlineStr">
        <is>
          <t>produce</t>
        </is>
      </c>
      <c r="C37" s="5" t="n">
        <v>2.228</v>
      </c>
      <c r="D37" s="5" t="n">
        <v>2.023</v>
      </c>
      <c r="E37" s="5" t="n">
        <v>303</v>
      </c>
      <c r="F37" s="5" t="n">
        <v>2.006</v>
      </c>
      <c r="G37" s="5" t="n">
        <v>0.017</v>
      </c>
    </row>
    <row r="38">
      <c r="A38" s="5" t="n">
        <v>4</v>
      </c>
      <c r="B38" s="5" t="inlineStr">
        <is>
          <t>snacks</t>
        </is>
      </c>
      <c r="C38" s="5" t="n">
        <v>1.359</v>
      </c>
      <c r="D38" s="5" t="n">
        <v>1.342</v>
      </c>
      <c r="E38" s="5" t="n">
        <v>357</v>
      </c>
      <c r="F38" s="5" t="n">
        <v>1.324</v>
      </c>
      <c r="G38" s="5" t="n">
        <v>0.017</v>
      </c>
    </row>
    <row r="39">
      <c r="A39" s="5" t="n">
        <v>5</v>
      </c>
      <c r="B39" s="5" t="inlineStr">
        <is>
          <t>beverages</t>
        </is>
      </c>
      <c r="C39" s="5" t="n">
        <v>1.601</v>
      </c>
      <c r="D39" s="5" t="n">
        <v>1.552</v>
      </c>
      <c r="E39" s="5" t="n">
        <v>368</v>
      </c>
      <c r="F39" s="5" t="n">
        <v>1.523</v>
      </c>
      <c r="G39" s="5" t="n">
        <v>0.029</v>
      </c>
    </row>
    <row r="40">
      <c r="A40" s="5" t="n">
        <v>5</v>
      </c>
      <c r="B40" s="5" t="inlineStr">
        <is>
          <t>dairy</t>
        </is>
      </c>
      <c r="C40" s="5" t="n">
        <v>3.293</v>
      </c>
      <c r="D40" s="5" t="n">
        <v>2.772</v>
      </c>
      <c r="E40" s="5" t="n">
        <v>324</v>
      </c>
      <c r="F40" s="5" t="n">
        <v>2.774</v>
      </c>
      <c r="G40" s="5" t="n">
        <v>-0.003</v>
      </c>
    </row>
    <row r="41">
      <c r="A41" s="5" t="n">
        <v>5</v>
      </c>
      <c r="B41" s="5" t="inlineStr">
        <is>
          <t>household</t>
        </is>
      </c>
      <c r="C41" s="5" t="n">
        <v>1.575</v>
      </c>
      <c r="D41" s="5" t="n">
        <v>1.454</v>
      </c>
      <c r="E41" s="5" t="n">
        <v>306</v>
      </c>
      <c r="F41" s="5" t="n">
        <v>1.452</v>
      </c>
      <c r="G41" s="5" t="n">
        <v>0.002</v>
      </c>
    </row>
    <row r="42">
      <c r="A42" s="5" t="n">
        <v>5</v>
      </c>
      <c r="B42" s="5" t="inlineStr">
        <is>
          <t>personal_care</t>
        </is>
      </c>
      <c r="C42" s="5" t="n">
        <v>1.59</v>
      </c>
      <c r="D42" s="5" t="n">
        <v>1.444</v>
      </c>
      <c r="E42" s="5" t="n">
        <v>349</v>
      </c>
      <c r="F42" s="5" t="n">
        <v>1.469</v>
      </c>
      <c r="G42" s="5" t="n">
        <v>-0.025</v>
      </c>
    </row>
    <row r="43">
      <c r="A43" s="5" t="n">
        <v>5</v>
      </c>
      <c r="B43" s="5" t="inlineStr">
        <is>
          <t>produce</t>
        </is>
      </c>
      <c r="C43" s="5" t="n">
        <v>2.227</v>
      </c>
      <c r="D43" s="5" t="n">
        <v>1.947</v>
      </c>
      <c r="E43" s="5" t="n">
        <v>322</v>
      </c>
      <c r="F43" s="5" t="n">
        <v>2.006</v>
      </c>
      <c r="G43" s="5" t="n">
        <v>-0.059</v>
      </c>
    </row>
    <row r="44">
      <c r="A44" s="5" t="n">
        <v>5</v>
      </c>
      <c r="B44" s="5" t="inlineStr">
        <is>
          <t>snacks</t>
        </is>
      </c>
      <c r="C44" s="5" t="n">
        <v>1.385</v>
      </c>
      <c r="D44" s="5" t="n">
        <v>1.324</v>
      </c>
      <c r="E44" s="5" t="n">
        <v>361</v>
      </c>
      <c r="F44" s="5" t="n">
        <v>1.324</v>
      </c>
      <c r="G44" s="5" t="n">
        <v>-0</v>
      </c>
    </row>
    <row r="45">
      <c r="A45" s="5" t="n">
        <v>6</v>
      </c>
      <c r="B45" s="5" t="inlineStr">
        <is>
          <t>beverages</t>
        </is>
      </c>
      <c r="C45" s="5" t="n">
        <v>1.573</v>
      </c>
      <c r="D45" s="5" t="n">
        <v>1.487</v>
      </c>
      <c r="E45" s="5" t="n">
        <v>398</v>
      </c>
      <c r="F45" s="5" t="n">
        <v>1.523</v>
      </c>
      <c r="G45" s="5" t="n">
        <v>-0.036</v>
      </c>
    </row>
    <row r="46">
      <c r="A46" s="5" t="n">
        <v>6</v>
      </c>
      <c r="B46" s="5" t="inlineStr">
        <is>
          <t>dairy</t>
        </is>
      </c>
      <c r="C46" s="5" t="n">
        <v>3.323</v>
      </c>
      <c r="D46" s="5" t="n">
        <v>2.825</v>
      </c>
      <c r="E46" s="5" t="n">
        <v>331</v>
      </c>
      <c r="F46" s="5" t="n">
        <v>2.774</v>
      </c>
      <c r="G46" s="5" t="n">
        <v>0.051</v>
      </c>
    </row>
    <row r="47">
      <c r="A47" s="5" t="n">
        <v>6</v>
      </c>
      <c r="B47" s="5" t="inlineStr">
        <is>
          <t>household</t>
        </is>
      </c>
      <c r="C47" s="5" t="n">
        <v>1.524</v>
      </c>
      <c r="D47" s="5" t="n">
        <v>1.375</v>
      </c>
      <c r="E47" s="5" t="n">
        <v>315</v>
      </c>
      <c r="F47" s="5" t="n">
        <v>1.452</v>
      </c>
      <c r="G47" s="5" t="n">
        <v>-0.078</v>
      </c>
    </row>
    <row r="48">
      <c r="A48" s="5" t="n">
        <v>6</v>
      </c>
      <c r="B48" s="5" t="inlineStr">
        <is>
          <t>personal_care</t>
        </is>
      </c>
      <c r="C48" s="5" t="n">
        <v>1.585</v>
      </c>
      <c r="D48" s="5" t="n">
        <v>1.406</v>
      </c>
      <c r="E48" s="5" t="n">
        <v>335</v>
      </c>
      <c r="F48" s="5" t="n">
        <v>1.469</v>
      </c>
      <c r="G48" s="5" t="n">
        <v>-0.063</v>
      </c>
    </row>
    <row r="49">
      <c r="A49" s="5" t="n">
        <v>6</v>
      </c>
      <c r="B49" s="5" t="inlineStr">
        <is>
          <t>produce</t>
        </is>
      </c>
      <c r="C49" s="5" t="n">
        <v>2.301</v>
      </c>
      <c r="D49" s="5" t="n">
        <v>2.023</v>
      </c>
      <c r="E49" s="5" t="n">
        <v>302</v>
      </c>
      <c r="F49" s="5" t="n">
        <v>2.006</v>
      </c>
      <c r="G49" s="5" t="n">
        <v>0.017</v>
      </c>
    </row>
    <row r="50">
      <c r="A50" s="5" t="n">
        <v>6</v>
      </c>
      <c r="B50" s="5" t="inlineStr">
        <is>
          <t>snacks</t>
        </is>
      </c>
      <c r="C50" s="5" t="n">
        <v>1.367</v>
      </c>
      <c r="D50" s="5" t="n">
        <v>1.298</v>
      </c>
      <c r="E50" s="5" t="n">
        <v>349</v>
      </c>
      <c r="F50" s="5" t="n">
        <v>1.324</v>
      </c>
      <c r="G50" s="5" t="n">
        <v>-0.026</v>
      </c>
    </row>
    <row r="51">
      <c r="A51" s="5" t="n">
        <v>7</v>
      </c>
      <c r="B51" s="5" t="inlineStr">
        <is>
          <t>beverages</t>
        </is>
      </c>
      <c r="C51" s="5" t="n">
        <v>1.625</v>
      </c>
      <c r="D51" s="5" t="n">
        <v>1.519</v>
      </c>
      <c r="E51" s="5" t="n">
        <v>347</v>
      </c>
      <c r="F51" s="5" t="n">
        <v>1.523</v>
      </c>
      <c r="G51" s="5" t="n">
        <v>-0.004</v>
      </c>
    </row>
    <row r="52">
      <c r="A52" s="5" t="n">
        <v>7</v>
      </c>
      <c r="B52" s="5" t="inlineStr">
        <is>
          <t>dairy</t>
        </is>
      </c>
      <c r="C52" s="5" t="n">
        <v>3.294</v>
      </c>
      <c r="D52" s="5" t="n">
        <v>3.872</v>
      </c>
      <c r="E52" s="5" t="n">
        <v>282</v>
      </c>
      <c r="F52" s="5" t="n">
        <v>2.774</v>
      </c>
      <c r="G52" s="5" t="n">
        <v>1.098</v>
      </c>
    </row>
    <row r="53">
      <c r="A53" s="5" t="n">
        <v>7</v>
      </c>
      <c r="B53" s="5" t="inlineStr">
        <is>
          <t>household</t>
        </is>
      </c>
      <c r="C53" s="5" t="n">
        <v>1.531</v>
      </c>
      <c r="D53" s="5" t="n">
        <v>1.381</v>
      </c>
      <c r="E53" s="5" t="n">
        <v>339</v>
      </c>
      <c r="F53" s="5" t="n">
        <v>1.452</v>
      </c>
      <c r="G53" s="5" t="n">
        <v>-0.07199999999999999</v>
      </c>
    </row>
    <row r="54">
      <c r="A54" s="5" t="n">
        <v>7</v>
      </c>
      <c r="B54" s="5" t="inlineStr">
        <is>
          <t>personal_care</t>
        </is>
      </c>
      <c r="C54" s="5" t="n">
        <v>1.601</v>
      </c>
      <c r="D54" s="5" t="n">
        <v>1.414</v>
      </c>
      <c r="E54" s="5" t="n">
        <v>331</v>
      </c>
      <c r="F54" s="5" t="n">
        <v>1.469</v>
      </c>
      <c r="G54" s="5" t="n">
        <v>-0.055</v>
      </c>
    </row>
    <row r="55">
      <c r="A55" s="5" t="n">
        <v>7</v>
      </c>
      <c r="B55" s="5" t="inlineStr">
        <is>
          <t>produce</t>
        </is>
      </c>
      <c r="C55" s="5" t="n">
        <v>2.238</v>
      </c>
      <c r="D55" s="5" t="n">
        <v>1.912</v>
      </c>
      <c r="E55" s="5" t="n">
        <v>320</v>
      </c>
      <c r="F55" s="5" t="n">
        <v>2.006</v>
      </c>
      <c r="G55" s="5" t="n">
        <v>-0.094</v>
      </c>
    </row>
    <row r="56">
      <c r="A56" s="5" t="n">
        <v>7</v>
      </c>
      <c r="B56" s="5" t="inlineStr">
        <is>
          <t>snacks</t>
        </is>
      </c>
      <c r="C56" s="5" t="n">
        <v>1.361</v>
      </c>
      <c r="D56" s="5" t="n">
        <v>1.324</v>
      </c>
      <c r="E56" s="5" t="n">
        <v>374</v>
      </c>
      <c r="F56" s="5" t="n">
        <v>1.324</v>
      </c>
      <c r="G56" s="5" t="n">
        <v>-0.001</v>
      </c>
    </row>
    <row r="57">
      <c r="A57" s="5" t="n">
        <v>8</v>
      </c>
      <c r="B57" s="5" t="inlineStr">
        <is>
          <t>beverages</t>
        </is>
      </c>
      <c r="C57" s="5" t="n">
        <v>1.581</v>
      </c>
      <c r="D57" s="5" t="n">
        <v>1.524</v>
      </c>
      <c r="E57" s="5" t="n">
        <v>391</v>
      </c>
      <c r="F57" s="5" t="n">
        <v>1.523</v>
      </c>
      <c r="G57" s="5" t="n">
        <v>0.001</v>
      </c>
    </row>
    <row r="58">
      <c r="A58" s="5" t="n">
        <v>8</v>
      </c>
      <c r="B58" s="5" t="inlineStr">
        <is>
          <t>dairy</t>
        </is>
      </c>
      <c r="C58" s="5" t="n">
        <v>3.296</v>
      </c>
      <c r="D58" s="5" t="n">
        <v>2.762</v>
      </c>
      <c r="E58" s="5" t="n">
        <v>328</v>
      </c>
      <c r="F58" s="5" t="n">
        <v>2.774</v>
      </c>
      <c r="G58" s="5" t="n">
        <v>-0.012</v>
      </c>
    </row>
    <row r="59">
      <c r="A59" s="5" t="n">
        <v>8</v>
      </c>
      <c r="B59" s="5" t="inlineStr">
        <is>
          <t>household</t>
        </is>
      </c>
      <c r="C59" s="5" t="n">
        <v>1.587</v>
      </c>
      <c r="D59" s="5" t="n">
        <v>1.494</v>
      </c>
      <c r="E59" s="5" t="n">
        <v>312</v>
      </c>
      <c r="F59" s="5" t="n">
        <v>1.452</v>
      </c>
      <c r="G59" s="5" t="n">
        <v>0.041</v>
      </c>
    </row>
    <row r="60">
      <c r="A60" s="5" t="n">
        <v>8</v>
      </c>
      <c r="B60" s="5" t="inlineStr">
        <is>
          <t>personal_care</t>
        </is>
      </c>
      <c r="C60" s="5" t="n">
        <v>1.595</v>
      </c>
      <c r="D60" s="5" t="n">
        <v>1.509</v>
      </c>
      <c r="E60" s="5" t="n">
        <v>348</v>
      </c>
      <c r="F60" s="5" t="n">
        <v>1.469</v>
      </c>
      <c r="G60" s="5" t="n">
        <v>0.039</v>
      </c>
    </row>
    <row r="61">
      <c r="A61" s="5" t="n">
        <v>8</v>
      </c>
      <c r="B61" s="5" t="inlineStr">
        <is>
          <t>produce</t>
        </is>
      </c>
      <c r="C61" s="5" t="n">
        <v>2.203</v>
      </c>
      <c r="D61" s="5" t="n">
        <v>1.912</v>
      </c>
      <c r="E61" s="5" t="n">
        <v>320</v>
      </c>
      <c r="F61" s="5" t="n">
        <v>2.006</v>
      </c>
      <c r="G61" s="5" t="n">
        <v>-0.094</v>
      </c>
    </row>
    <row r="62">
      <c r="A62" s="5" t="n">
        <v>8</v>
      </c>
      <c r="B62" s="5" t="inlineStr">
        <is>
          <t>snacks</t>
        </is>
      </c>
      <c r="C62" s="5" t="n">
        <v>1.38</v>
      </c>
      <c r="D62" s="5" t="n">
        <v>1.344</v>
      </c>
      <c r="E62" s="5" t="n">
        <v>363</v>
      </c>
      <c r="F62" s="5" t="n">
        <v>1.324</v>
      </c>
      <c r="G62" s="5" t="n">
        <v>0.02</v>
      </c>
    </row>
    <row r="63">
      <c r="A63" s="5" t="n">
        <v>9</v>
      </c>
      <c r="B63" s="5" t="inlineStr">
        <is>
          <t>beverages</t>
        </is>
      </c>
      <c r="C63" s="5" t="n">
        <v>1.566</v>
      </c>
      <c r="D63" s="5" t="n">
        <v>1.517</v>
      </c>
      <c r="E63" s="5" t="n">
        <v>362</v>
      </c>
      <c r="F63" s="5" t="n">
        <v>1.523</v>
      </c>
      <c r="G63" s="5" t="n">
        <v>-0.006</v>
      </c>
    </row>
    <row r="64">
      <c r="A64" s="5" t="n">
        <v>9</v>
      </c>
      <c r="B64" s="5" t="inlineStr">
        <is>
          <t>dairy</t>
        </is>
      </c>
      <c r="C64" s="5" t="n">
        <v>3.288</v>
      </c>
      <c r="D64" s="5" t="n">
        <v>2.732</v>
      </c>
      <c r="E64" s="5" t="n">
        <v>306</v>
      </c>
      <c r="F64" s="5" t="n">
        <v>2.774</v>
      </c>
      <c r="G64" s="5" t="n">
        <v>-0.042</v>
      </c>
    </row>
    <row r="65">
      <c r="A65" s="5" t="n">
        <v>9</v>
      </c>
      <c r="B65" s="5" t="inlineStr">
        <is>
          <t>household</t>
        </is>
      </c>
      <c r="C65" s="5" t="n">
        <v>1.536</v>
      </c>
      <c r="D65" s="5" t="n">
        <v>1.453</v>
      </c>
      <c r="E65" s="5" t="n">
        <v>338</v>
      </c>
      <c r="F65" s="5" t="n">
        <v>1.452</v>
      </c>
      <c r="G65" s="5" t="n">
        <v>0</v>
      </c>
    </row>
    <row r="66">
      <c r="A66" s="5" t="n">
        <v>9</v>
      </c>
      <c r="B66" s="5" t="inlineStr">
        <is>
          <t>personal_care</t>
        </is>
      </c>
      <c r="C66" s="5" t="n">
        <v>1.603</v>
      </c>
      <c r="D66" s="5" t="n">
        <v>1.459</v>
      </c>
      <c r="E66" s="5" t="n">
        <v>307</v>
      </c>
      <c r="F66" s="5" t="n">
        <v>1.469</v>
      </c>
      <c r="G66" s="5" t="n">
        <v>-0.01</v>
      </c>
    </row>
    <row r="67">
      <c r="A67" s="5" t="n">
        <v>9</v>
      </c>
      <c r="B67" s="5" t="inlineStr">
        <is>
          <t>produce</t>
        </is>
      </c>
      <c r="C67" s="5" t="n">
        <v>2.246</v>
      </c>
      <c r="D67" s="5" t="n">
        <v>2.105</v>
      </c>
      <c r="E67" s="5" t="n">
        <v>333</v>
      </c>
      <c r="F67" s="5" t="n">
        <v>2.006</v>
      </c>
      <c r="G67" s="5" t="n">
        <v>0.099</v>
      </c>
    </row>
    <row r="68">
      <c r="A68" s="5" t="n">
        <v>9</v>
      </c>
      <c r="B68" s="5" t="inlineStr">
        <is>
          <t>snacks</t>
        </is>
      </c>
      <c r="C68" s="5" t="n">
        <v>1.351</v>
      </c>
      <c r="D68" s="5" t="n">
        <v>1.32</v>
      </c>
      <c r="E68" s="5" t="n">
        <v>350</v>
      </c>
      <c r="F68" s="5" t="n">
        <v>1.324</v>
      </c>
      <c r="G68" s="5" t="n">
        <v>-0.004</v>
      </c>
    </row>
    <row r="69">
      <c r="A69" s="5" t="n">
        <v>10</v>
      </c>
      <c r="B69" s="5" t="inlineStr">
        <is>
          <t>beverages</t>
        </is>
      </c>
      <c r="C69" s="5" t="n">
        <v>1.597</v>
      </c>
      <c r="D69" s="5" t="n">
        <v>1.522</v>
      </c>
      <c r="E69" s="5" t="n">
        <v>370</v>
      </c>
      <c r="F69" s="5" t="n">
        <v>1.523</v>
      </c>
      <c r="G69" s="5" t="n">
        <v>-0.001</v>
      </c>
    </row>
    <row r="70">
      <c r="A70" s="5" t="n">
        <v>10</v>
      </c>
      <c r="B70" s="5" t="inlineStr">
        <is>
          <t>dairy</t>
        </is>
      </c>
      <c r="C70" s="5" t="n">
        <v>3.291</v>
      </c>
      <c r="D70" s="5" t="n">
        <v>2.722</v>
      </c>
      <c r="E70" s="5" t="n">
        <v>327</v>
      </c>
      <c r="F70" s="5" t="n">
        <v>2.774</v>
      </c>
      <c r="G70" s="5" t="n">
        <v>-0.052</v>
      </c>
    </row>
    <row r="71">
      <c r="A71" s="5" t="n">
        <v>10</v>
      </c>
      <c r="B71" s="5" t="inlineStr">
        <is>
          <t>household</t>
        </is>
      </c>
      <c r="C71" s="5" t="n">
        <v>1.574</v>
      </c>
      <c r="D71" s="5" t="n">
        <v>1.449</v>
      </c>
      <c r="E71" s="5" t="n">
        <v>312</v>
      </c>
      <c r="F71" s="5" t="n">
        <v>1.452</v>
      </c>
      <c r="G71" s="5" t="n">
        <v>-0.004</v>
      </c>
    </row>
    <row r="72">
      <c r="A72" s="5" t="n">
        <v>10</v>
      </c>
      <c r="B72" s="5" t="inlineStr">
        <is>
          <t>personal_care</t>
        </is>
      </c>
      <c r="C72" s="5" t="n">
        <v>1.637</v>
      </c>
      <c r="D72" s="5" t="n">
        <v>1.469</v>
      </c>
      <c r="E72" s="5" t="n">
        <v>311</v>
      </c>
      <c r="F72" s="5" t="n">
        <v>1.469</v>
      </c>
      <c r="G72" s="5" t="n">
        <v>0</v>
      </c>
    </row>
    <row r="73">
      <c r="A73" s="5" t="n">
        <v>10</v>
      </c>
      <c r="B73" s="5" t="inlineStr">
        <is>
          <t>produce</t>
        </is>
      </c>
      <c r="C73" s="5" t="n">
        <v>2.244</v>
      </c>
      <c r="D73" s="5" t="n">
        <v>2.03</v>
      </c>
      <c r="E73" s="5" t="n">
        <v>328</v>
      </c>
      <c r="F73" s="5" t="n">
        <v>2.006</v>
      </c>
      <c r="G73" s="5" t="n">
        <v>0.024</v>
      </c>
    </row>
    <row r="74">
      <c r="A74" s="5" t="n">
        <v>10</v>
      </c>
      <c r="B74" s="5" t="inlineStr">
        <is>
          <t>snacks</t>
        </is>
      </c>
      <c r="C74" s="5" t="n">
        <v>1.357</v>
      </c>
      <c r="D74" s="5" t="n">
        <v>1.302</v>
      </c>
      <c r="E74" s="5" t="n">
        <v>364</v>
      </c>
      <c r="F74" s="5" t="n">
        <v>1.324</v>
      </c>
      <c r="G74" s="5" t="n">
        <v>-0.022</v>
      </c>
    </row>
    <row r="75">
      <c r="A75" s="5" t="n">
        <v>11</v>
      </c>
      <c r="B75" s="5" t="inlineStr">
        <is>
          <t>beverages</t>
        </is>
      </c>
      <c r="C75" s="5" t="n">
        <v>1.6</v>
      </c>
      <c r="D75" s="5" t="n">
        <v>1.493</v>
      </c>
      <c r="E75" s="5" t="n">
        <v>365</v>
      </c>
      <c r="F75" s="5" t="n">
        <v>1.523</v>
      </c>
      <c r="G75" s="5" t="n">
        <v>-0.03</v>
      </c>
    </row>
    <row r="76">
      <c r="A76" s="5" t="n">
        <v>11</v>
      </c>
      <c r="B76" s="5" t="inlineStr">
        <is>
          <t>dairy</t>
        </is>
      </c>
      <c r="C76" s="5" t="n">
        <v>3.317</v>
      </c>
      <c r="D76" s="5" t="n">
        <v>3.814</v>
      </c>
      <c r="E76" s="5" t="n">
        <v>290</v>
      </c>
      <c r="F76" s="5" t="n">
        <v>2.774</v>
      </c>
      <c r="G76" s="5" t="n">
        <v>1.04</v>
      </c>
    </row>
    <row r="77">
      <c r="A77" s="5" t="n">
        <v>11</v>
      </c>
      <c r="B77" s="5" t="inlineStr">
        <is>
          <t>household</t>
        </is>
      </c>
      <c r="C77" s="5" t="n">
        <v>1.525</v>
      </c>
      <c r="D77" s="5" t="n">
        <v>1.433</v>
      </c>
      <c r="E77" s="5" t="n">
        <v>326</v>
      </c>
      <c r="F77" s="5" t="n">
        <v>1.452</v>
      </c>
      <c r="G77" s="5" t="n">
        <v>-0.02</v>
      </c>
    </row>
    <row r="78">
      <c r="A78" s="5" t="n">
        <v>11</v>
      </c>
      <c r="B78" s="5" t="inlineStr">
        <is>
          <t>personal_care</t>
        </is>
      </c>
      <c r="C78" s="5" t="n">
        <v>1.643</v>
      </c>
      <c r="D78" s="5" t="n">
        <v>1.471</v>
      </c>
      <c r="E78" s="5" t="n">
        <v>291</v>
      </c>
      <c r="F78" s="5" t="n">
        <v>1.469</v>
      </c>
      <c r="G78" s="5" t="n">
        <v>0.001</v>
      </c>
    </row>
    <row r="79">
      <c r="A79" s="5" t="n">
        <v>11</v>
      </c>
      <c r="B79" s="5" t="inlineStr">
        <is>
          <t>produce</t>
        </is>
      </c>
      <c r="C79" s="5" t="n">
        <v>2.24</v>
      </c>
      <c r="D79" s="5" t="n">
        <v>2.006</v>
      </c>
      <c r="E79" s="5" t="n">
        <v>321</v>
      </c>
      <c r="F79" s="5" t="n">
        <v>2.006</v>
      </c>
      <c r="G79" s="5" t="n">
        <v>-0</v>
      </c>
    </row>
    <row r="80">
      <c r="A80" s="5" t="n">
        <v>11</v>
      </c>
      <c r="B80" s="5" t="inlineStr">
        <is>
          <t>snacks</t>
        </is>
      </c>
      <c r="C80" s="5" t="n">
        <v>1.356</v>
      </c>
      <c r="D80" s="5" t="n">
        <v>1.318</v>
      </c>
      <c r="E80" s="5" t="n">
        <v>374</v>
      </c>
      <c r="F80" s="5" t="n">
        <v>1.324</v>
      </c>
      <c r="G80" s="5" t="n">
        <v>-0.006</v>
      </c>
    </row>
    <row r="81">
      <c r="A81" s="5" t="n">
        <v>12</v>
      </c>
      <c r="B81" s="5" t="inlineStr">
        <is>
          <t>beverages</t>
        </is>
      </c>
      <c r="C81" s="5" t="n">
        <v>1.579</v>
      </c>
      <c r="D81" s="5" t="n">
        <v>1.537</v>
      </c>
      <c r="E81" s="5" t="n">
        <v>363</v>
      </c>
      <c r="F81" s="5" t="n">
        <v>1.523</v>
      </c>
      <c r="G81" s="5" t="n">
        <v>0.014</v>
      </c>
    </row>
    <row r="82">
      <c r="A82" s="5" t="n">
        <v>12</v>
      </c>
      <c r="B82" s="5" t="inlineStr">
        <is>
          <t>dairy</t>
        </is>
      </c>
      <c r="C82" s="5" t="n">
        <v>3.286</v>
      </c>
      <c r="D82" s="5" t="n">
        <v>2.777</v>
      </c>
      <c r="E82" s="5" t="n">
        <v>318</v>
      </c>
      <c r="F82" s="5" t="n">
        <v>2.774</v>
      </c>
      <c r="G82" s="5" t="n">
        <v>0.003</v>
      </c>
    </row>
    <row r="83">
      <c r="A83" s="5" t="n">
        <v>12</v>
      </c>
      <c r="B83" s="5" t="inlineStr">
        <is>
          <t>household</t>
        </is>
      </c>
      <c r="C83" s="5" t="n">
        <v>1.528</v>
      </c>
      <c r="D83" s="5" t="n">
        <v>1.451</v>
      </c>
      <c r="E83" s="5" t="n">
        <v>326</v>
      </c>
      <c r="F83" s="5" t="n">
        <v>1.452</v>
      </c>
      <c r="G83" s="5" t="n">
        <v>-0.002</v>
      </c>
    </row>
    <row r="84">
      <c r="A84" s="5" t="n">
        <v>12</v>
      </c>
      <c r="B84" s="5" t="inlineStr">
        <is>
          <t>personal_care</t>
        </is>
      </c>
      <c r="C84" s="5" t="n">
        <v>1.579</v>
      </c>
      <c r="D84" s="5" t="n">
        <v>1.437</v>
      </c>
      <c r="E84" s="5" t="n">
        <v>316</v>
      </c>
      <c r="F84" s="5" t="n">
        <v>1.469</v>
      </c>
      <c r="G84" s="5" t="n">
        <v>-0.033</v>
      </c>
    </row>
    <row r="85">
      <c r="A85" s="5" t="n">
        <v>12</v>
      </c>
      <c r="B85" s="5" t="inlineStr">
        <is>
          <t>produce</t>
        </is>
      </c>
      <c r="C85" s="5" t="n">
        <v>2.189</v>
      </c>
      <c r="D85" s="5" t="n">
        <v>1.976</v>
      </c>
      <c r="E85" s="5" t="n">
        <v>339</v>
      </c>
      <c r="F85" s="5" t="n">
        <v>2.006</v>
      </c>
      <c r="G85" s="5" t="n">
        <v>-0.03</v>
      </c>
    </row>
    <row r="86">
      <c r="A86" s="5" t="n">
        <v>12</v>
      </c>
      <c r="B86" s="5" t="inlineStr">
        <is>
          <t>snacks</t>
        </is>
      </c>
      <c r="C86" s="5" t="n">
        <v>1.356</v>
      </c>
      <c r="D86" s="5" t="n">
        <v>1.346</v>
      </c>
      <c r="E86" s="5" t="n">
        <v>376</v>
      </c>
      <c r="F86" s="5" t="n">
        <v>1.324</v>
      </c>
      <c r="G86" s="5" t="n">
        <v>0.021</v>
      </c>
    </row>
    <row r="87">
      <c r="A87" s="5" t="n">
        <v>13</v>
      </c>
      <c r="B87" s="5" t="inlineStr">
        <is>
          <t>beverages</t>
        </is>
      </c>
      <c r="C87" s="5" t="n">
        <v>1.604</v>
      </c>
      <c r="D87" s="5" t="n">
        <v>1.517</v>
      </c>
      <c r="E87" s="5" t="n">
        <v>356</v>
      </c>
      <c r="F87" s="5" t="n">
        <v>1.523</v>
      </c>
      <c r="G87" s="5" t="n">
        <v>-0.006</v>
      </c>
    </row>
    <row r="88">
      <c r="A88" s="5" t="n">
        <v>13</v>
      </c>
      <c r="B88" s="5" t="inlineStr">
        <is>
          <t>dairy</t>
        </is>
      </c>
      <c r="C88" s="5" t="n">
        <v>3.311</v>
      </c>
      <c r="D88" s="5" t="n">
        <v>2.731</v>
      </c>
      <c r="E88" s="5" t="n">
        <v>331</v>
      </c>
      <c r="F88" s="5" t="n">
        <v>2.774</v>
      </c>
      <c r="G88" s="5" t="n">
        <v>-0.043</v>
      </c>
    </row>
    <row r="89">
      <c r="A89" s="5" t="n">
        <v>13</v>
      </c>
      <c r="B89" s="5" t="inlineStr">
        <is>
          <t>household</t>
        </is>
      </c>
      <c r="C89" s="5" t="n">
        <v>1.58</v>
      </c>
      <c r="D89" s="5" t="n">
        <v>1.478</v>
      </c>
      <c r="E89" s="5" t="n">
        <v>314</v>
      </c>
      <c r="F89" s="5" t="n">
        <v>1.452</v>
      </c>
      <c r="G89" s="5" t="n">
        <v>0.025</v>
      </c>
    </row>
    <row r="90">
      <c r="A90" s="5" t="n">
        <v>13</v>
      </c>
      <c r="B90" s="5" t="inlineStr">
        <is>
          <t>personal_care</t>
        </is>
      </c>
      <c r="C90" s="5" t="n">
        <v>1.613</v>
      </c>
      <c r="D90" s="5" t="n">
        <v>1.451</v>
      </c>
      <c r="E90" s="5" t="n">
        <v>328</v>
      </c>
      <c r="F90" s="5" t="n">
        <v>1.469</v>
      </c>
      <c r="G90" s="5" t="n">
        <v>-0.018</v>
      </c>
    </row>
    <row r="91">
      <c r="A91" s="5" t="n">
        <v>13</v>
      </c>
      <c r="B91" s="5" t="inlineStr">
        <is>
          <t>produce</t>
        </is>
      </c>
      <c r="C91" s="5" t="n">
        <v>2.248</v>
      </c>
      <c r="D91" s="5" t="n">
        <v>1.934</v>
      </c>
      <c r="E91" s="5" t="n">
        <v>303</v>
      </c>
      <c r="F91" s="5" t="n">
        <v>2.006</v>
      </c>
      <c r="G91" s="5" t="n">
        <v>-0.07199999999999999</v>
      </c>
    </row>
    <row r="92">
      <c r="A92" s="5" t="n">
        <v>13</v>
      </c>
      <c r="B92" s="5" t="inlineStr">
        <is>
          <t>snacks</t>
        </is>
      </c>
      <c r="C92" s="5" t="n">
        <v>1.382</v>
      </c>
      <c r="D92" s="5" t="n">
        <v>1.341</v>
      </c>
      <c r="E92" s="5" t="n">
        <v>346</v>
      </c>
      <c r="F92" s="5" t="n">
        <v>1.324</v>
      </c>
      <c r="G92" s="5" t="n">
        <v>0.017</v>
      </c>
    </row>
    <row r="93">
      <c r="A93" s="5" t="n">
        <v>14</v>
      </c>
      <c r="B93" s="5" t="inlineStr">
        <is>
          <t>beverages</t>
        </is>
      </c>
      <c r="C93" s="5" t="n">
        <v>1.518</v>
      </c>
      <c r="D93" s="5" t="n">
        <v>1.818</v>
      </c>
      <c r="E93" s="5" t="n">
        <v>709</v>
      </c>
      <c r="F93" s="5" t="n">
        <v>1.523</v>
      </c>
      <c r="G93" s="5" t="n">
        <v>0.295</v>
      </c>
    </row>
    <row r="94">
      <c r="A94" s="5" t="n">
        <v>14</v>
      </c>
      <c r="B94" s="5" t="inlineStr">
        <is>
          <t>dairy</t>
        </is>
      </c>
      <c r="C94" s="5" t="n">
        <v>3.252</v>
      </c>
      <c r="D94" s="5" t="n">
        <v>3.433</v>
      </c>
      <c r="E94" s="5" t="n">
        <v>492</v>
      </c>
      <c r="F94" s="5" t="n">
        <v>2.774</v>
      </c>
      <c r="G94" s="5" t="n">
        <v>0.659</v>
      </c>
    </row>
    <row r="95">
      <c r="A95" s="5" t="n">
        <v>14</v>
      </c>
      <c r="B95" s="5" t="inlineStr">
        <is>
          <t>household</t>
        </is>
      </c>
      <c r="C95" s="5" t="n">
        <v>1.484</v>
      </c>
      <c r="D95" s="5" t="n">
        <v>1.708</v>
      </c>
      <c r="E95" s="5" t="n">
        <v>698</v>
      </c>
      <c r="F95" s="5" t="n">
        <v>1.452</v>
      </c>
      <c r="G95" s="5" t="n">
        <v>0.255</v>
      </c>
    </row>
    <row r="96">
      <c r="A96" s="5" t="n">
        <v>14</v>
      </c>
      <c r="B96" s="5" t="inlineStr">
        <is>
          <t>personal_care</t>
        </is>
      </c>
      <c r="C96" s="5" t="n">
        <v>1.518</v>
      </c>
      <c r="D96" s="5" t="n">
        <v>1.767</v>
      </c>
      <c r="E96" s="5" t="n">
        <v>701</v>
      </c>
      <c r="F96" s="5" t="n">
        <v>1.469</v>
      </c>
      <c r="G96" s="5" t="n">
        <v>0.298</v>
      </c>
    </row>
    <row r="97">
      <c r="A97" s="5" t="n">
        <v>14</v>
      </c>
      <c r="B97" s="5" t="inlineStr">
        <is>
          <t>produce</t>
        </is>
      </c>
      <c r="C97" s="5" t="n">
        <v>2.17</v>
      </c>
      <c r="D97" s="5" t="n">
        <v>2.505</v>
      </c>
      <c r="E97" s="5" t="n">
        <v>560</v>
      </c>
      <c r="F97" s="5" t="n">
        <v>2.006</v>
      </c>
      <c r="G97" s="5" t="n">
        <v>0.499</v>
      </c>
    </row>
    <row r="98">
      <c r="A98" s="5" t="n">
        <v>14</v>
      </c>
      <c r="B98" s="5" t="inlineStr">
        <is>
          <t>snacks</t>
        </is>
      </c>
      <c r="C98" s="5" t="n">
        <v>1.31</v>
      </c>
      <c r="D98" s="5" t="n">
        <v>1.592</v>
      </c>
      <c r="E98" s="5" t="n">
        <v>723</v>
      </c>
      <c r="F98" s="5" t="n">
        <v>1.324</v>
      </c>
      <c r="G98" s="5" t="n">
        <v>0.268</v>
      </c>
    </row>
    <row r="99">
      <c r="A99" s="5" t="n">
        <v>15</v>
      </c>
      <c r="B99" s="5" t="inlineStr">
        <is>
          <t>beverages</t>
        </is>
      </c>
      <c r="C99" s="5" t="n">
        <v>1.576</v>
      </c>
      <c r="D99" s="5" t="n">
        <v>1.489</v>
      </c>
      <c r="E99" s="5" t="n">
        <v>356</v>
      </c>
      <c r="F99" s="5" t="n">
        <v>1.523</v>
      </c>
      <c r="G99" s="5" t="n">
        <v>-0.034</v>
      </c>
    </row>
    <row r="100">
      <c r="A100" s="5" t="n">
        <v>15</v>
      </c>
      <c r="B100" s="5" t="inlineStr">
        <is>
          <t>dairy</t>
        </is>
      </c>
      <c r="C100" s="5" t="n">
        <v>3.281</v>
      </c>
      <c r="D100" s="5" t="n">
        <v>2.644</v>
      </c>
      <c r="E100" s="5" t="n">
        <v>306</v>
      </c>
      <c r="F100" s="5" t="n">
        <v>2.774</v>
      </c>
      <c r="G100" s="5" t="n">
        <v>-0.13</v>
      </c>
    </row>
    <row r="101">
      <c r="A101" s="5" t="n">
        <v>15</v>
      </c>
      <c r="B101" s="5" t="inlineStr">
        <is>
          <t>household</t>
        </is>
      </c>
      <c r="C101" s="5" t="n">
        <v>1.468</v>
      </c>
      <c r="D101" s="5" t="n">
        <v>1.426</v>
      </c>
      <c r="E101" s="5" t="n">
        <v>331</v>
      </c>
      <c r="F101" s="5" t="n">
        <v>1.452</v>
      </c>
      <c r="G101" s="5" t="n">
        <v>-0.027</v>
      </c>
    </row>
    <row r="102">
      <c r="A102" s="5" t="n">
        <v>15</v>
      </c>
      <c r="B102" s="5" t="inlineStr">
        <is>
          <t>personal_care</t>
        </is>
      </c>
      <c r="C102" s="5" t="n">
        <v>1.549</v>
      </c>
      <c r="D102" s="5" t="n">
        <v>1.399</v>
      </c>
      <c r="E102" s="5" t="n">
        <v>306</v>
      </c>
      <c r="F102" s="5" t="n">
        <v>1.469</v>
      </c>
      <c r="G102" s="5" t="n">
        <v>-0.07099999999999999</v>
      </c>
    </row>
    <row r="103">
      <c r="A103" s="5" t="n">
        <v>15</v>
      </c>
      <c r="B103" s="5" t="inlineStr">
        <is>
          <t>produce</t>
        </is>
      </c>
      <c r="C103" s="5" t="n">
        <v>2.22</v>
      </c>
      <c r="D103" s="5" t="n">
        <v>1.979</v>
      </c>
      <c r="E103" s="5" t="n">
        <v>332</v>
      </c>
      <c r="F103" s="5" t="n">
        <v>2.006</v>
      </c>
      <c r="G103" s="5" t="n">
        <v>-0.027</v>
      </c>
    </row>
    <row r="104">
      <c r="A104" s="5" t="n">
        <v>15</v>
      </c>
      <c r="B104" s="5" t="inlineStr">
        <is>
          <t>snacks</t>
        </is>
      </c>
      <c r="C104" s="5" t="n">
        <v>1.349</v>
      </c>
      <c r="D104" s="5" t="n">
        <v>1.324</v>
      </c>
      <c r="E104" s="5" t="n">
        <v>358</v>
      </c>
      <c r="F104" s="5" t="n">
        <v>1.324</v>
      </c>
      <c r="G104" s="5" t="n">
        <v>-0</v>
      </c>
    </row>
    <row r="105">
      <c r="A105" s="5" t="n">
        <v>16</v>
      </c>
      <c r="B105" s="5" t="inlineStr">
        <is>
          <t>beverages</t>
        </is>
      </c>
      <c r="C105" s="5" t="n">
        <v>1.525</v>
      </c>
      <c r="D105" s="5" t="n">
        <v>1.78</v>
      </c>
      <c r="E105" s="5" t="n">
        <v>691</v>
      </c>
      <c r="F105" s="5" t="n">
        <v>1.523</v>
      </c>
      <c r="G105" s="5" t="n">
        <v>0.257</v>
      </c>
    </row>
    <row r="106">
      <c r="A106" s="5" t="n">
        <v>16</v>
      </c>
      <c r="B106" s="5" t="inlineStr">
        <is>
          <t>dairy</t>
        </is>
      </c>
      <c r="C106" s="5" t="n">
        <v>3.274</v>
      </c>
      <c r="D106" s="5" t="n">
        <v>3.339</v>
      </c>
      <c r="E106" s="5" t="n">
        <v>504</v>
      </c>
      <c r="F106" s="5" t="n">
        <v>2.774</v>
      </c>
      <c r="G106" s="5" t="n">
        <v>0.5649999999999999</v>
      </c>
    </row>
    <row r="107">
      <c r="A107" s="5" t="n">
        <v>16</v>
      </c>
      <c r="B107" s="5" t="inlineStr">
        <is>
          <t>household</t>
        </is>
      </c>
      <c r="C107" s="5" t="n">
        <v>1.478</v>
      </c>
      <c r="D107" s="5" t="n">
        <v>1.688</v>
      </c>
      <c r="E107" s="5" t="n">
        <v>667</v>
      </c>
      <c r="F107" s="5" t="n">
        <v>1.452</v>
      </c>
      <c r="G107" s="5" t="n">
        <v>0.236</v>
      </c>
    </row>
    <row r="108">
      <c r="A108" s="5" t="n">
        <v>16</v>
      </c>
      <c r="B108" s="5" t="inlineStr">
        <is>
          <t>personal_care</t>
        </is>
      </c>
      <c r="C108" s="5" t="n">
        <v>1.516</v>
      </c>
      <c r="D108" s="5" t="n">
        <v>1.741</v>
      </c>
      <c r="E108" s="5" t="n">
        <v>672</v>
      </c>
      <c r="F108" s="5" t="n">
        <v>1.469</v>
      </c>
      <c r="G108" s="5" t="n">
        <v>0.272</v>
      </c>
    </row>
    <row r="109">
      <c r="A109" s="5" t="n">
        <v>16</v>
      </c>
      <c r="B109" s="5" t="inlineStr">
        <is>
          <t>produce</t>
        </is>
      </c>
      <c r="C109" s="5" t="n">
        <v>2.18</v>
      </c>
      <c r="D109" s="5" t="n">
        <v>2.482</v>
      </c>
      <c r="E109" s="5" t="n">
        <v>539</v>
      </c>
      <c r="F109" s="5" t="n">
        <v>2.006</v>
      </c>
      <c r="G109" s="5" t="n">
        <v>0.476</v>
      </c>
    </row>
    <row r="110">
      <c r="A110" s="5" t="n">
        <v>16</v>
      </c>
      <c r="B110" s="5" t="inlineStr">
        <is>
          <t>snacks</t>
        </is>
      </c>
      <c r="C110" s="5" t="n">
        <v>1.313</v>
      </c>
      <c r="D110" s="5" t="n">
        <v>1.636</v>
      </c>
      <c r="E110" s="5" t="n">
        <v>697</v>
      </c>
      <c r="F110" s="5" t="n">
        <v>1.324</v>
      </c>
      <c r="G110" s="5" t="n">
        <v>0.311</v>
      </c>
    </row>
    <row r="111">
      <c r="A111" s="5" t="n">
        <v>17</v>
      </c>
      <c r="B111" s="5" t="inlineStr">
        <is>
          <t>beverages</t>
        </is>
      </c>
      <c r="C111" s="5" t="n">
        <v>1.602</v>
      </c>
      <c r="D111" s="5" t="n">
        <v>1.48</v>
      </c>
      <c r="E111" s="5" t="n">
        <v>352</v>
      </c>
      <c r="F111" s="5" t="n">
        <v>1.523</v>
      </c>
      <c r="G111" s="5" t="n">
        <v>-0.043</v>
      </c>
    </row>
    <row r="112">
      <c r="A112" s="5" t="n">
        <v>17</v>
      </c>
      <c r="B112" s="5" t="inlineStr">
        <is>
          <t>dairy</t>
        </is>
      </c>
      <c r="C112" s="5" t="n">
        <v>3.291</v>
      </c>
      <c r="D112" s="5" t="n">
        <v>2.742</v>
      </c>
      <c r="E112" s="5" t="n">
        <v>333</v>
      </c>
      <c r="F112" s="5" t="n">
        <v>2.774</v>
      </c>
      <c r="G112" s="5" t="n">
        <v>-0.032</v>
      </c>
    </row>
    <row r="113">
      <c r="A113" s="5" t="n">
        <v>17</v>
      </c>
      <c r="B113" s="5" t="inlineStr">
        <is>
          <t>household</t>
        </is>
      </c>
      <c r="C113" s="5" t="n">
        <v>1.522</v>
      </c>
      <c r="D113" s="5" t="n">
        <v>1.398</v>
      </c>
      <c r="E113" s="5" t="n">
        <v>322</v>
      </c>
      <c r="F113" s="5" t="n">
        <v>1.452</v>
      </c>
      <c r="G113" s="5" t="n">
        <v>-0.055</v>
      </c>
    </row>
    <row r="114">
      <c r="A114" s="5" t="n">
        <v>17</v>
      </c>
      <c r="B114" s="5" t="inlineStr">
        <is>
          <t>personal_care</t>
        </is>
      </c>
      <c r="C114" s="5" t="n">
        <v>1.617</v>
      </c>
      <c r="D114" s="5" t="n">
        <v>1.469</v>
      </c>
      <c r="E114" s="5" t="n">
        <v>326</v>
      </c>
      <c r="F114" s="5" t="n">
        <v>1.469</v>
      </c>
      <c r="G114" s="5" t="n">
        <v>-0</v>
      </c>
    </row>
    <row r="115">
      <c r="A115" s="5" t="n">
        <v>17</v>
      </c>
      <c r="B115" s="5" t="inlineStr">
        <is>
          <t>produce</t>
        </is>
      </c>
      <c r="C115" s="5" t="n">
        <v>2.231</v>
      </c>
      <c r="D115" s="5" t="n">
        <v>1.945</v>
      </c>
      <c r="E115" s="5" t="n">
        <v>329</v>
      </c>
      <c r="F115" s="5" t="n">
        <v>2.006</v>
      </c>
      <c r="G115" s="5" t="n">
        <v>-0.061</v>
      </c>
    </row>
    <row r="116">
      <c r="A116" s="5" t="n">
        <v>17</v>
      </c>
      <c r="B116" s="5" t="inlineStr">
        <is>
          <t>snacks</t>
        </is>
      </c>
      <c r="C116" s="5" t="n">
        <v>1.371</v>
      </c>
      <c r="D116" s="5" t="n">
        <v>1.354</v>
      </c>
      <c r="E116" s="5" t="n">
        <v>364</v>
      </c>
      <c r="F116" s="5" t="n">
        <v>1.324</v>
      </c>
      <c r="G116" s="5" t="n">
        <v>0.03</v>
      </c>
    </row>
    <row r="117">
      <c r="A117" s="5" t="n">
        <v>18</v>
      </c>
      <c r="B117" s="5" t="inlineStr">
        <is>
          <t>beverages</t>
        </is>
      </c>
      <c r="C117" s="5" t="n">
        <v>1.564</v>
      </c>
      <c r="D117" s="5" t="n">
        <v>1.518</v>
      </c>
      <c r="E117" s="5" t="n">
        <v>365</v>
      </c>
      <c r="F117" s="5" t="n">
        <v>1.523</v>
      </c>
      <c r="G117" s="5" t="n">
        <v>-0.005</v>
      </c>
    </row>
    <row r="118">
      <c r="A118" s="5" t="n">
        <v>18</v>
      </c>
      <c r="B118" s="5" t="inlineStr">
        <is>
          <t>dairy</t>
        </is>
      </c>
      <c r="C118" s="5" t="n">
        <v>3.259</v>
      </c>
      <c r="D118" s="5" t="n">
        <v>2.692</v>
      </c>
      <c r="E118" s="5" t="n">
        <v>305</v>
      </c>
      <c r="F118" s="5" t="n">
        <v>2.774</v>
      </c>
      <c r="G118" s="5" t="n">
        <v>-0.082</v>
      </c>
    </row>
    <row r="119">
      <c r="A119" s="5" t="n">
        <v>18</v>
      </c>
      <c r="B119" s="5" t="inlineStr">
        <is>
          <t>household</t>
        </is>
      </c>
      <c r="C119" s="5" t="n">
        <v>1.551</v>
      </c>
      <c r="D119" s="5" t="n">
        <v>1.452</v>
      </c>
      <c r="E119" s="5" t="n">
        <v>325</v>
      </c>
      <c r="F119" s="5" t="n">
        <v>1.452</v>
      </c>
      <c r="G119" s="5" t="n">
        <v>-0</v>
      </c>
    </row>
    <row r="120">
      <c r="A120" s="5" t="n">
        <v>18</v>
      </c>
      <c r="B120" s="5" t="inlineStr">
        <is>
          <t>personal_care</t>
        </is>
      </c>
      <c r="C120" s="5" t="n">
        <v>1.588</v>
      </c>
      <c r="D120" s="5" t="n">
        <v>1.531</v>
      </c>
      <c r="E120" s="5" t="n">
        <v>337</v>
      </c>
      <c r="F120" s="5" t="n">
        <v>1.469</v>
      </c>
      <c r="G120" s="5" t="n">
        <v>0.062</v>
      </c>
    </row>
    <row r="121">
      <c r="A121" s="5" t="n">
        <v>18</v>
      </c>
      <c r="B121" s="5" t="inlineStr">
        <is>
          <t>produce</t>
        </is>
      </c>
      <c r="C121" s="5" t="n">
        <v>2.234</v>
      </c>
      <c r="D121" s="5" t="n">
        <v>2.006</v>
      </c>
      <c r="E121" s="5" t="n">
        <v>312</v>
      </c>
      <c r="F121" s="5" t="n">
        <v>2.006</v>
      </c>
      <c r="G121" s="5" t="n">
        <v>0</v>
      </c>
    </row>
    <row r="122">
      <c r="A122" s="5" t="n">
        <v>18</v>
      </c>
      <c r="B122" s="5" t="inlineStr">
        <is>
          <t>snacks</t>
        </is>
      </c>
      <c r="C122" s="5" t="n">
        <v>1.379</v>
      </c>
      <c r="D122" s="5" t="n">
        <v>1.329</v>
      </c>
      <c r="E122" s="5" t="n">
        <v>343</v>
      </c>
      <c r="F122" s="5" t="n">
        <v>1.324</v>
      </c>
      <c r="G122" s="5" t="n">
        <v>0.005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 ht="26" customHeight="1">
      <c r="A1" s="1" t="inlineStr">
        <is>
          <t>ROOT CAUSE SPLIT (Q5)</t>
        </is>
      </c>
    </row>
    <row r="3">
      <c r="A3" s="7" t="inlineStr">
        <is>
          <t>Demand-driven = sold above the median and still ran out. Supply-driven = there was nothing on the shelf to sell.</t>
        </is>
      </c>
    </row>
    <row r="5" ht="30" customHeight="1">
      <c r="A5" s="19" t="inlineStr">
        <is>
          <t>Store</t>
        </is>
      </c>
      <c r="B5" s="19" t="inlineStr">
        <is>
          <t>Demand-driven</t>
        </is>
      </c>
      <c r="C5" s="19" t="inlineStr">
        <is>
          <t>Supply-driven</t>
        </is>
      </c>
      <c r="D5" s="19" t="inlineStr">
        <is>
          <t>Supply share</t>
        </is>
      </c>
    </row>
    <row r="6">
      <c r="A6" s="5" t="n">
        <v>1</v>
      </c>
      <c r="B6" s="5" t="n">
        <v>264</v>
      </c>
      <c r="C6" s="5" t="n">
        <v>365</v>
      </c>
      <c r="D6" s="21" t="n">
        <v>0.5802861685214626</v>
      </c>
    </row>
    <row r="7">
      <c r="A7" s="5" t="n">
        <v>2</v>
      </c>
      <c r="B7" s="5" t="n">
        <v>277</v>
      </c>
      <c r="C7" s="5" t="n">
        <v>389</v>
      </c>
      <c r="D7" s="21" t="n">
        <v>0.5840840840840841</v>
      </c>
    </row>
    <row r="8">
      <c r="A8" s="5" t="n">
        <v>3</v>
      </c>
      <c r="B8" s="5" t="n">
        <v>309</v>
      </c>
      <c r="C8" s="5" t="n">
        <v>580</v>
      </c>
      <c r="D8" s="21" t="n">
        <v>0.6524184476940382</v>
      </c>
    </row>
    <row r="9">
      <c r="A9" s="5" t="n">
        <v>4</v>
      </c>
      <c r="B9" s="5" t="n">
        <v>294</v>
      </c>
      <c r="C9" s="5" t="n">
        <v>355</v>
      </c>
      <c r="D9" s="21" t="n">
        <v>0.5469953775038521</v>
      </c>
    </row>
    <row r="10">
      <c r="A10" s="5" t="n">
        <v>5</v>
      </c>
      <c r="B10" s="5" t="n">
        <v>245</v>
      </c>
      <c r="C10" s="5" t="n">
        <v>358</v>
      </c>
      <c r="D10" s="21" t="n">
        <v>0.593698175787728</v>
      </c>
    </row>
    <row r="11">
      <c r="A11" s="5" t="n">
        <v>6</v>
      </c>
      <c r="B11" s="5" t="n">
        <v>266</v>
      </c>
      <c r="C11" s="5" t="n">
        <v>341</v>
      </c>
      <c r="D11" s="21" t="n">
        <v>0.5617792421746294</v>
      </c>
    </row>
    <row r="12">
      <c r="A12" s="5" t="n">
        <v>7</v>
      </c>
      <c r="B12" s="5" t="n">
        <v>255</v>
      </c>
      <c r="C12" s="5" t="n">
        <v>574</v>
      </c>
      <c r="D12" s="21" t="n">
        <v>0.6924004825090471</v>
      </c>
    </row>
    <row r="13">
      <c r="A13" s="5" t="n">
        <v>8</v>
      </c>
      <c r="B13" s="5" t="n">
        <v>262</v>
      </c>
      <c r="C13" s="5" t="n">
        <v>345</v>
      </c>
      <c r="D13" s="21" t="n">
        <v>0.5683690280065898</v>
      </c>
    </row>
    <row r="14">
      <c r="A14" s="5" t="n">
        <v>9</v>
      </c>
      <c r="B14" s="5" t="n">
        <v>284</v>
      </c>
      <c r="C14" s="5" t="n">
        <v>362</v>
      </c>
      <c r="D14" s="21" t="n">
        <v>0.5603715170278638</v>
      </c>
    </row>
    <row r="15">
      <c r="A15" s="5" t="n">
        <v>10</v>
      </c>
      <c r="B15" s="5" t="n">
        <v>226</v>
      </c>
      <c r="C15" s="5" t="n">
        <v>342</v>
      </c>
      <c r="D15" s="21" t="n">
        <v>0.602112676056338</v>
      </c>
    </row>
    <row r="16">
      <c r="A16" s="5" t="n">
        <v>11</v>
      </c>
      <c r="B16" s="5" t="n">
        <v>289</v>
      </c>
      <c r="C16" s="5" t="n">
        <v>555</v>
      </c>
      <c r="D16" s="21" t="n">
        <v>0.6575829383886256</v>
      </c>
    </row>
    <row r="17">
      <c r="A17" s="5" t="n">
        <v>12</v>
      </c>
      <c r="B17" s="5" t="n">
        <v>252</v>
      </c>
      <c r="C17" s="5" t="n">
        <v>392</v>
      </c>
      <c r="D17" s="21" t="n">
        <v>0.6086956521739131</v>
      </c>
    </row>
    <row r="18">
      <c r="A18" s="5" t="n">
        <v>13</v>
      </c>
      <c r="B18" s="5" t="n">
        <v>258</v>
      </c>
      <c r="C18" s="5" t="n">
        <v>295</v>
      </c>
      <c r="D18" s="21" t="n">
        <v>0.5334538878842676</v>
      </c>
    </row>
    <row r="19">
      <c r="A19" s="5" t="n">
        <v>14</v>
      </c>
      <c r="B19" s="5" t="n">
        <v>330</v>
      </c>
      <c r="C19" s="5" t="n">
        <v>2344</v>
      </c>
      <c r="D19" s="21" t="n">
        <v>0.8765893792071803</v>
      </c>
    </row>
    <row r="20">
      <c r="A20" s="5" t="n">
        <v>15</v>
      </c>
      <c r="B20" s="5" t="n">
        <v>294</v>
      </c>
      <c r="C20" s="5" t="n">
        <v>370</v>
      </c>
      <c r="D20" s="21" t="n">
        <v>0.5572289156626506</v>
      </c>
    </row>
    <row r="21">
      <c r="A21" s="5" t="n">
        <v>16</v>
      </c>
      <c r="B21" s="5" t="n">
        <v>289</v>
      </c>
      <c r="C21" s="5" t="n">
        <v>2203</v>
      </c>
      <c r="D21" s="21" t="n">
        <v>0.8840288924558587</v>
      </c>
    </row>
    <row r="22">
      <c r="A22" s="5" t="n">
        <v>17</v>
      </c>
      <c r="B22" s="5" t="n">
        <v>242</v>
      </c>
      <c r="C22" s="5" t="n">
        <v>335</v>
      </c>
      <c r="D22" s="21" t="n">
        <v>0.5805892547660312</v>
      </c>
    </row>
    <row r="23">
      <c r="A23" s="5" t="n">
        <v>18</v>
      </c>
      <c r="B23" s="5" t="n">
        <v>288</v>
      </c>
      <c r="C23" s="5" t="n">
        <v>368</v>
      </c>
      <c r="D23" s="21" t="n">
        <v>0.5609756097560976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WEEKEND DEMAND LIFT (Q3)</t>
        </is>
      </c>
    </row>
    <row r="3">
      <c r="A3" s="7" t="inlineStr">
        <is>
          <t>Only snacks and beverages lift on Fri/Sat. Dairy is flat — which rules out weekend demand as the explanation for the dairy stockouts.</t>
        </is>
      </c>
    </row>
    <row r="5" ht="30" customHeight="1">
      <c r="A5" s="19" t="inlineStr">
        <is>
          <t>category</t>
        </is>
      </c>
      <c r="B5" s="19" t="inlineStr">
        <is>
          <t>avg_weekend_units</t>
        </is>
      </c>
      <c r="C5" s="19" t="inlineStr">
        <is>
          <t>avg_weekday_units</t>
        </is>
      </c>
      <c r="D5" s="19" t="inlineStr">
        <is>
          <t>weekend_lift_pct</t>
        </is>
      </c>
    </row>
    <row r="6">
      <c r="A6" s="5" t="inlineStr">
        <is>
          <t>beverages</t>
        </is>
      </c>
      <c r="B6" s="5" t="n">
        <v>2.818</v>
      </c>
      <c r="C6" s="5" t="n">
        <v>2.127</v>
      </c>
      <c r="D6" s="39" t="n">
        <v>32.5</v>
      </c>
    </row>
    <row r="7">
      <c r="A7" s="5" t="inlineStr">
        <is>
          <t>snacks</t>
        </is>
      </c>
      <c r="B7" s="5" t="n">
        <v>2.55</v>
      </c>
      <c r="C7" s="5" t="n">
        <v>1.925</v>
      </c>
      <c r="D7" s="39" t="n">
        <v>32.4</v>
      </c>
    </row>
    <row r="8">
      <c r="A8" s="5" t="inlineStr">
        <is>
          <t>household</t>
        </is>
      </c>
      <c r="B8" s="5" t="n">
        <v>2.16</v>
      </c>
      <c r="C8" s="5" t="n">
        <v>2.149</v>
      </c>
      <c r="D8" s="39" t="n">
        <v>0.5</v>
      </c>
    </row>
    <row r="9">
      <c r="A9" s="5" t="inlineStr">
        <is>
          <t>produce</t>
        </is>
      </c>
      <c r="B9" s="5" t="n">
        <v>2.321</v>
      </c>
      <c r="C9" s="5" t="n">
        <v>2.328</v>
      </c>
      <c r="D9" s="39" t="n">
        <v>-0.3</v>
      </c>
    </row>
    <row r="10">
      <c r="A10" s="5" t="inlineStr">
        <is>
          <t>dairy</t>
        </is>
      </c>
      <c r="B10" s="5" t="n">
        <v>2.547</v>
      </c>
      <c r="C10" s="5" t="n">
        <v>2.564</v>
      </c>
      <c r="D10" s="39" t="n">
        <v>-0.6</v>
      </c>
    </row>
    <row r="11">
      <c r="A11" s="5" t="inlineStr">
        <is>
          <t>personal_care</t>
        </is>
      </c>
      <c r="B11" s="5" t="n">
        <v>1.771</v>
      </c>
      <c r="C11" s="5" t="n">
        <v>1.788</v>
      </c>
      <c r="D11" s="39" t="n">
        <v>-1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2026-09-10T22:05:53Z</dcterms:created>
  <dcterms:modified xmlns:dcterms="http://purl.org/dc/terms/" xmlns:xsi="http://www.w3.org/2001/XMLSchema-instance" xsi:type="dcterms:W3CDTF">2026-09-10T22:05:53Z</dcterms:modified>
</cp:coreProperties>
</file>